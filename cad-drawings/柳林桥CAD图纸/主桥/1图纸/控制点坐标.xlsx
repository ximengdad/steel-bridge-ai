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22年项目\柳林桥\1图纸\"/>
    </mc:Choice>
  </mc:AlternateContent>
  <xr:revisionPtr revIDLastSave="0" documentId="13_ncr:1_{F518F841-AA6A-47E4-A3EE-4532EE500C5B}" xr6:coauthVersionLast="47" xr6:coauthVersionMax="47" xr10:uidLastSave="{00000000-0000-0000-0000-000000000000}"/>
  <bookViews>
    <workbookView xWindow="-120" yWindow="-120" windowWidth="29040" windowHeight="15840" xr2:uid="{3B49C112-A819-4CAD-9474-78FF0513CE1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121" i="1" l="1"/>
  <c r="T121" i="1"/>
  <c r="S121" i="1"/>
  <c r="U120" i="1"/>
  <c r="T120" i="1"/>
  <c r="S120" i="1"/>
  <c r="U119" i="1"/>
  <c r="T119" i="1"/>
  <c r="S119" i="1"/>
  <c r="U118" i="1"/>
  <c r="T118" i="1"/>
  <c r="S118" i="1"/>
  <c r="U117" i="1"/>
  <c r="T117" i="1"/>
  <c r="S117" i="1"/>
  <c r="U116" i="1"/>
  <c r="T116" i="1"/>
  <c r="S116" i="1"/>
  <c r="U115" i="1"/>
  <c r="T115" i="1"/>
  <c r="S115" i="1"/>
  <c r="U114" i="1"/>
  <c r="T114" i="1"/>
  <c r="S114" i="1"/>
  <c r="U113" i="1"/>
  <c r="T113" i="1"/>
  <c r="S113" i="1"/>
  <c r="U112" i="1"/>
  <c r="T112" i="1"/>
  <c r="S112" i="1"/>
  <c r="U111" i="1"/>
  <c r="T111" i="1"/>
  <c r="S111" i="1"/>
  <c r="U110" i="1"/>
  <c r="T110" i="1"/>
  <c r="S110" i="1"/>
  <c r="U109" i="1"/>
  <c r="T109" i="1"/>
  <c r="S109" i="1"/>
  <c r="U108" i="1"/>
  <c r="T108" i="1"/>
  <c r="S108" i="1"/>
  <c r="U107" i="1"/>
  <c r="T107" i="1"/>
  <c r="S107" i="1"/>
  <c r="U106" i="1"/>
  <c r="T106" i="1"/>
  <c r="S106" i="1"/>
  <c r="U105" i="1"/>
  <c r="T105" i="1"/>
  <c r="S105" i="1"/>
  <c r="U104" i="1"/>
  <c r="T104" i="1"/>
  <c r="S104" i="1"/>
  <c r="U103" i="1"/>
  <c r="T103" i="1"/>
  <c r="S103" i="1"/>
  <c r="U102" i="1"/>
  <c r="T102" i="1"/>
  <c r="S102" i="1"/>
  <c r="U101" i="1"/>
  <c r="T101" i="1"/>
  <c r="S101" i="1"/>
  <c r="U100" i="1"/>
  <c r="T100" i="1"/>
  <c r="S100" i="1"/>
  <c r="U99" i="1"/>
  <c r="T99" i="1"/>
  <c r="S99" i="1"/>
  <c r="U98" i="1"/>
  <c r="T98" i="1"/>
  <c r="S98" i="1"/>
  <c r="U97" i="1"/>
  <c r="T97" i="1"/>
  <c r="S97" i="1"/>
  <c r="U96" i="1"/>
  <c r="T96" i="1"/>
  <c r="S96" i="1"/>
  <c r="U95" i="1"/>
  <c r="T95" i="1"/>
  <c r="S95" i="1"/>
  <c r="U94" i="1"/>
  <c r="T94" i="1"/>
  <c r="S94" i="1"/>
  <c r="U93" i="1"/>
  <c r="T93" i="1"/>
  <c r="S93" i="1"/>
  <c r="U92" i="1"/>
  <c r="T92" i="1"/>
  <c r="S92" i="1"/>
  <c r="U91" i="1"/>
  <c r="T91" i="1"/>
  <c r="S91" i="1"/>
  <c r="U90" i="1"/>
  <c r="T90" i="1"/>
  <c r="S90" i="1"/>
  <c r="U89" i="1"/>
  <c r="T89" i="1"/>
  <c r="S89" i="1"/>
  <c r="U88" i="1"/>
  <c r="T88" i="1"/>
  <c r="S88" i="1"/>
  <c r="U87" i="1"/>
  <c r="T87" i="1"/>
  <c r="S87" i="1"/>
  <c r="U86" i="1"/>
  <c r="T86" i="1"/>
  <c r="S86" i="1"/>
  <c r="U85" i="1"/>
  <c r="T85" i="1"/>
  <c r="S85" i="1"/>
  <c r="U84" i="1"/>
  <c r="T84" i="1"/>
  <c r="S84" i="1"/>
  <c r="U83" i="1"/>
  <c r="T83" i="1"/>
  <c r="S83" i="1"/>
  <c r="U82" i="1"/>
  <c r="T82" i="1"/>
  <c r="S82" i="1"/>
  <c r="U81" i="1"/>
  <c r="T81" i="1"/>
  <c r="S81" i="1"/>
  <c r="U80" i="1"/>
  <c r="T80" i="1"/>
  <c r="S80" i="1"/>
  <c r="U79" i="1"/>
  <c r="T79" i="1"/>
  <c r="S79" i="1"/>
  <c r="U78" i="1"/>
  <c r="T78" i="1"/>
  <c r="S78" i="1"/>
  <c r="U77" i="1"/>
  <c r="T77" i="1"/>
  <c r="S77" i="1"/>
  <c r="U76" i="1"/>
  <c r="T76" i="1"/>
  <c r="S76" i="1"/>
  <c r="U75" i="1"/>
  <c r="T75" i="1"/>
  <c r="S75" i="1"/>
  <c r="U74" i="1"/>
  <c r="T74" i="1"/>
  <c r="S74" i="1"/>
  <c r="U73" i="1"/>
  <c r="T73" i="1"/>
  <c r="S73" i="1"/>
  <c r="U72" i="1"/>
  <c r="T72" i="1"/>
  <c r="S72" i="1"/>
  <c r="U71" i="1"/>
  <c r="T71" i="1"/>
  <c r="S71" i="1"/>
  <c r="U70" i="1"/>
  <c r="T70" i="1"/>
  <c r="S70" i="1"/>
  <c r="U69" i="1"/>
  <c r="T69" i="1"/>
  <c r="S69" i="1"/>
  <c r="U68" i="1"/>
  <c r="T68" i="1"/>
  <c r="S68" i="1"/>
  <c r="U67" i="1"/>
  <c r="T67" i="1"/>
  <c r="S67" i="1"/>
  <c r="U66" i="1"/>
  <c r="T66" i="1"/>
  <c r="S66" i="1"/>
  <c r="U65" i="1"/>
  <c r="T65" i="1"/>
  <c r="S65" i="1"/>
  <c r="U64" i="1"/>
  <c r="T64" i="1"/>
  <c r="S64" i="1"/>
  <c r="U63" i="1"/>
  <c r="T63" i="1"/>
  <c r="S63" i="1"/>
  <c r="U62" i="1"/>
  <c r="T62" i="1"/>
  <c r="S62" i="1"/>
  <c r="U61" i="1"/>
  <c r="T61" i="1"/>
  <c r="S61" i="1"/>
  <c r="U60" i="1"/>
  <c r="T60" i="1"/>
  <c r="S60" i="1"/>
  <c r="U59" i="1"/>
  <c r="T59" i="1"/>
  <c r="S59" i="1"/>
  <c r="U58" i="1"/>
  <c r="T58" i="1"/>
  <c r="S58" i="1"/>
  <c r="U57" i="1"/>
  <c r="T57" i="1"/>
  <c r="S57" i="1"/>
  <c r="U56" i="1"/>
  <c r="T56" i="1"/>
  <c r="S56" i="1"/>
  <c r="U55" i="1"/>
  <c r="T55" i="1"/>
  <c r="S55" i="1"/>
  <c r="U54" i="1"/>
  <c r="T54" i="1"/>
  <c r="S54" i="1"/>
  <c r="U53" i="1"/>
  <c r="T53" i="1"/>
  <c r="S53" i="1"/>
  <c r="U52" i="1"/>
  <c r="T52" i="1"/>
  <c r="S52" i="1"/>
  <c r="U51" i="1"/>
  <c r="T51" i="1"/>
  <c r="S51" i="1"/>
  <c r="U50" i="1"/>
  <c r="T50" i="1"/>
  <c r="S50" i="1"/>
  <c r="U49" i="1"/>
  <c r="T49" i="1"/>
  <c r="S49" i="1"/>
  <c r="U48" i="1"/>
  <c r="T48" i="1"/>
  <c r="S48" i="1"/>
  <c r="U47" i="1"/>
  <c r="T47" i="1"/>
  <c r="S47" i="1"/>
  <c r="U46" i="1"/>
  <c r="T46" i="1"/>
  <c r="S46" i="1"/>
  <c r="U45" i="1"/>
  <c r="T45" i="1"/>
  <c r="S45" i="1"/>
  <c r="U44" i="1"/>
  <c r="T44" i="1"/>
  <c r="S44" i="1"/>
  <c r="U43" i="1"/>
  <c r="T43" i="1"/>
  <c r="S43" i="1"/>
  <c r="U42" i="1"/>
  <c r="T42" i="1"/>
  <c r="S42" i="1"/>
  <c r="U41" i="1"/>
  <c r="T41" i="1"/>
  <c r="S41" i="1"/>
  <c r="U40" i="1"/>
  <c r="T40" i="1"/>
  <c r="S40" i="1"/>
  <c r="U39" i="1"/>
  <c r="T39" i="1"/>
  <c r="S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U33" i="1"/>
  <c r="T33" i="1"/>
  <c r="S33" i="1"/>
  <c r="U32" i="1"/>
  <c r="T32" i="1"/>
  <c r="S32" i="1"/>
  <c r="U31" i="1"/>
  <c r="T31" i="1"/>
  <c r="S31" i="1"/>
  <c r="U30" i="1"/>
  <c r="T30" i="1"/>
  <c r="S30" i="1"/>
  <c r="U29" i="1"/>
  <c r="T29" i="1"/>
  <c r="S29" i="1"/>
  <c r="U28" i="1"/>
  <c r="T28" i="1"/>
  <c r="S28" i="1"/>
  <c r="U27" i="1"/>
  <c r="T27" i="1"/>
  <c r="S27" i="1"/>
  <c r="U26" i="1"/>
  <c r="T26" i="1"/>
  <c r="S26" i="1"/>
  <c r="U25" i="1"/>
  <c r="T25" i="1"/>
  <c r="S25" i="1"/>
  <c r="U24" i="1"/>
  <c r="T24" i="1"/>
  <c r="S24" i="1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U8" i="1"/>
  <c r="T8" i="1"/>
  <c r="S8" i="1"/>
  <c r="U7" i="1"/>
  <c r="T7" i="1"/>
  <c r="S7" i="1"/>
  <c r="U6" i="1"/>
  <c r="T6" i="1"/>
  <c r="S6" i="1"/>
  <c r="U5" i="1"/>
  <c r="T5" i="1"/>
  <c r="S5" i="1"/>
  <c r="U4" i="1"/>
  <c r="T4" i="1"/>
  <c r="S4" i="1"/>
  <c r="U3" i="1"/>
  <c r="T3" i="1"/>
  <c r="S3" i="1"/>
  <c r="U2" i="1"/>
  <c r="T2" i="1"/>
  <c r="S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I2" i="1"/>
  <c r="J2" i="1"/>
  <c r="H2" i="1"/>
</calcChain>
</file>

<file path=xl/sharedStrings.xml><?xml version="1.0" encoding="utf-8"?>
<sst xmlns="http://schemas.openxmlformats.org/spreadsheetml/2006/main" count="310" uniqueCount="298">
  <si>
    <t>隔板-点位</t>
  </si>
  <si>
    <t>隔板编号</t>
  </si>
  <si>
    <t>点位编号</t>
  </si>
  <si>
    <t>位置 X</t>
  </si>
  <si>
    <t>位置 Y</t>
  </si>
  <si>
    <t>位置 Z</t>
  </si>
  <si>
    <t>右1-1</t>
  </si>
  <si>
    <t>右1-2</t>
  </si>
  <si>
    <t>右1-3</t>
  </si>
  <si>
    <t>右1-4</t>
  </si>
  <si>
    <t>右1-5</t>
  </si>
  <si>
    <t>右1-6</t>
  </si>
  <si>
    <t>右2-1</t>
  </si>
  <si>
    <t>右2-2</t>
  </si>
  <si>
    <t>右2-3</t>
  </si>
  <si>
    <t>右2-4</t>
  </si>
  <si>
    <t>右2-5</t>
  </si>
  <si>
    <t>右2-6</t>
  </si>
  <si>
    <t>右3-1</t>
  </si>
  <si>
    <t>右3-2</t>
  </si>
  <si>
    <t>右3-3</t>
  </si>
  <si>
    <t>右3-4</t>
  </si>
  <si>
    <t>右3-5</t>
  </si>
  <si>
    <t>右3-6</t>
  </si>
  <si>
    <t>右4-1</t>
  </si>
  <si>
    <t>右4-2</t>
  </si>
  <si>
    <t>右4-3</t>
  </si>
  <si>
    <t>右4-4</t>
  </si>
  <si>
    <t>右4-5</t>
  </si>
  <si>
    <t>右4-6</t>
  </si>
  <si>
    <t>右5-1</t>
  </si>
  <si>
    <t>右5-2</t>
  </si>
  <si>
    <t>右5-3</t>
  </si>
  <si>
    <t>右5-4</t>
  </si>
  <si>
    <t>右5-5</t>
  </si>
  <si>
    <t>右5-6</t>
  </si>
  <si>
    <t>右6-1</t>
  </si>
  <si>
    <t>右6-2</t>
  </si>
  <si>
    <t>右6-3</t>
  </si>
  <si>
    <t>右6-4</t>
  </si>
  <si>
    <t>右6-5</t>
  </si>
  <si>
    <t>右6-6</t>
  </si>
  <si>
    <t>右7-1</t>
  </si>
  <si>
    <t>右7-2</t>
  </si>
  <si>
    <t>右7-3</t>
  </si>
  <si>
    <t>右7-4</t>
  </si>
  <si>
    <t>右7-5</t>
  </si>
  <si>
    <t>右7-6</t>
  </si>
  <si>
    <t>右8-1</t>
  </si>
  <si>
    <t>右8-2</t>
  </si>
  <si>
    <t>右8-3</t>
  </si>
  <si>
    <t>右8-4</t>
  </si>
  <si>
    <t>右8-5</t>
  </si>
  <si>
    <t>右8-6</t>
  </si>
  <si>
    <t>右9-1</t>
  </si>
  <si>
    <t>右9-2</t>
  </si>
  <si>
    <t>右9-3</t>
  </si>
  <si>
    <t>右9-4</t>
  </si>
  <si>
    <t>右9-5</t>
  </si>
  <si>
    <t>右9-6</t>
  </si>
  <si>
    <t>右10-1</t>
  </si>
  <si>
    <t>右10-2</t>
  </si>
  <si>
    <t>右10-3</t>
  </si>
  <si>
    <t>右10-4</t>
  </si>
  <si>
    <t>右10-5</t>
  </si>
  <si>
    <t>右10-6</t>
  </si>
  <si>
    <t>右11-1</t>
  </si>
  <si>
    <t>右11-2</t>
  </si>
  <si>
    <t>右11-3</t>
  </si>
  <si>
    <t>右11-4</t>
  </si>
  <si>
    <t>右11-5</t>
  </si>
  <si>
    <t>右11-6</t>
  </si>
  <si>
    <t>右12-1</t>
  </si>
  <si>
    <t>右12-2</t>
  </si>
  <si>
    <t>右12-3</t>
  </si>
  <si>
    <t>右12-4</t>
  </si>
  <si>
    <t>右12-5</t>
  </si>
  <si>
    <t>右12-6</t>
  </si>
  <si>
    <t>右13-1</t>
  </si>
  <si>
    <t>右13-2</t>
  </si>
  <si>
    <t>右13-3</t>
  </si>
  <si>
    <t>右13-4</t>
  </si>
  <si>
    <t>右13-5</t>
  </si>
  <si>
    <t>右13-6</t>
  </si>
  <si>
    <t>右14-1</t>
  </si>
  <si>
    <t>右14-2</t>
  </si>
  <si>
    <t>右14-3</t>
  </si>
  <si>
    <t>右14-4</t>
  </si>
  <si>
    <t>右14-5</t>
  </si>
  <si>
    <t>右14-6</t>
  </si>
  <si>
    <t>右15-1</t>
  </si>
  <si>
    <t>右15-2</t>
  </si>
  <si>
    <t>右15-3</t>
  </si>
  <si>
    <t>右15-4</t>
  </si>
  <si>
    <t>右15-5</t>
  </si>
  <si>
    <t>右15-6</t>
  </si>
  <si>
    <t>右16-1</t>
  </si>
  <si>
    <t>右16-2</t>
  </si>
  <si>
    <t>右16-3</t>
  </si>
  <si>
    <t>右16-4</t>
  </si>
  <si>
    <t>右16-5</t>
  </si>
  <si>
    <t>右16-6</t>
  </si>
  <si>
    <t>右17-1</t>
  </si>
  <si>
    <t>右17-2</t>
  </si>
  <si>
    <t>右17-3</t>
  </si>
  <si>
    <t>右17-4</t>
  </si>
  <si>
    <t>右17-5</t>
  </si>
  <si>
    <t>右17-6</t>
  </si>
  <si>
    <t>右18-1</t>
  </si>
  <si>
    <t>右18-2</t>
  </si>
  <si>
    <t>右18-3</t>
  </si>
  <si>
    <t>右18-4</t>
  </si>
  <si>
    <t>右18-5</t>
  </si>
  <si>
    <t>右18-6</t>
  </si>
  <si>
    <t>右19-1</t>
  </si>
  <si>
    <t>右19-2</t>
  </si>
  <si>
    <t>右19-3</t>
  </si>
  <si>
    <t>右19-4</t>
  </si>
  <si>
    <t>右19-5</t>
  </si>
  <si>
    <t>右19-6</t>
  </si>
  <si>
    <t>右20-1</t>
  </si>
  <si>
    <t>右20-2</t>
  </si>
  <si>
    <t>右20-3</t>
  </si>
  <si>
    <t>右20-4</t>
  </si>
  <si>
    <t>右20-5</t>
  </si>
  <si>
    <t>右20-6</t>
  </si>
  <si>
    <t>隔板</t>
  </si>
  <si>
    <t>点位</t>
  </si>
  <si>
    <t>左1-1</t>
  </si>
  <si>
    <t>左1-2</t>
  </si>
  <si>
    <t>左1-3</t>
  </si>
  <si>
    <t>左1-4</t>
  </si>
  <si>
    <t>左1-5</t>
  </si>
  <si>
    <t>左1-6</t>
  </si>
  <si>
    <t>左2-1</t>
  </si>
  <si>
    <t>左2-2</t>
  </si>
  <si>
    <t>左2-3</t>
  </si>
  <si>
    <t>左2-4</t>
  </si>
  <si>
    <t>左2-5</t>
  </si>
  <si>
    <t>左2-6</t>
  </si>
  <si>
    <t>左3-1</t>
  </si>
  <si>
    <t>左3-2</t>
  </si>
  <si>
    <t>左3-3</t>
  </si>
  <si>
    <t>左3-4</t>
  </si>
  <si>
    <t>左3-5</t>
  </si>
  <si>
    <t>左3-6</t>
  </si>
  <si>
    <t>左4-1</t>
  </si>
  <si>
    <t>左4-2</t>
  </si>
  <si>
    <t>左4-3</t>
  </si>
  <si>
    <t>左4-4</t>
  </si>
  <si>
    <t>左4-5</t>
  </si>
  <si>
    <t>左4-6</t>
  </si>
  <si>
    <t>左5-1</t>
  </si>
  <si>
    <t>左5-2</t>
  </si>
  <si>
    <t>左5-3</t>
  </si>
  <si>
    <t>左5-4</t>
  </si>
  <si>
    <t>左5-5</t>
  </si>
  <si>
    <t>左5-6</t>
  </si>
  <si>
    <t>左6-1</t>
  </si>
  <si>
    <t>左6-2</t>
  </si>
  <si>
    <t>左6-3</t>
  </si>
  <si>
    <t>左6-4</t>
  </si>
  <si>
    <t>左6-5</t>
  </si>
  <si>
    <t>左6-6</t>
  </si>
  <si>
    <t>左7-1</t>
  </si>
  <si>
    <t>左7-2</t>
  </si>
  <si>
    <t>左7-3</t>
  </si>
  <si>
    <t>左7-4</t>
  </si>
  <si>
    <t>左7-5</t>
  </si>
  <si>
    <t>左7-6</t>
  </si>
  <si>
    <t>左8-1</t>
  </si>
  <si>
    <t>左8-2</t>
  </si>
  <si>
    <t>左8-3</t>
  </si>
  <si>
    <t>左8-4</t>
  </si>
  <si>
    <t>左8-5</t>
  </si>
  <si>
    <t>左8-6</t>
  </si>
  <si>
    <t>左9-1</t>
  </si>
  <si>
    <t>左9-2</t>
  </si>
  <si>
    <t>左9-3</t>
  </si>
  <si>
    <t>左9-4</t>
  </si>
  <si>
    <t>左9-5</t>
  </si>
  <si>
    <t>左9-6</t>
  </si>
  <si>
    <t>左10-1</t>
  </si>
  <si>
    <t>左10-2</t>
  </si>
  <si>
    <t>左10-3</t>
  </si>
  <si>
    <t>左10-4</t>
  </si>
  <si>
    <t>左10-5</t>
  </si>
  <si>
    <t>左10-6</t>
  </si>
  <si>
    <t>左11-1</t>
  </si>
  <si>
    <t>左11-2</t>
  </si>
  <si>
    <t>左11-3</t>
  </si>
  <si>
    <t>左11-4</t>
  </si>
  <si>
    <t>左11-5</t>
  </si>
  <si>
    <t>左11-6</t>
  </si>
  <si>
    <t>左12-1</t>
  </si>
  <si>
    <t>左12-2</t>
  </si>
  <si>
    <t>左12-3</t>
  </si>
  <si>
    <t>左12-4</t>
  </si>
  <si>
    <t>左12-5</t>
  </si>
  <si>
    <t>左12-6</t>
  </si>
  <si>
    <t>左13-1</t>
  </si>
  <si>
    <t>左13-2</t>
  </si>
  <si>
    <t>左13-3</t>
  </si>
  <si>
    <t>左13-4</t>
  </si>
  <si>
    <t>左13-5</t>
  </si>
  <si>
    <t>左13-6</t>
  </si>
  <si>
    <t>左14-1</t>
  </si>
  <si>
    <t>左14-2</t>
  </si>
  <si>
    <t>左14-3</t>
  </si>
  <si>
    <t>左14-4</t>
  </si>
  <si>
    <t>左14-5</t>
  </si>
  <si>
    <t>左14-6</t>
  </si>
  <si>
    <t>左15-1</t>
  </si>
  <si>
    <t>左15-2</t>
  </si>
  <si>
    <t>左15-3</t>
  </si>
  <si>
    <t>左15-4</t>
  </si>
  <si>
    <t>左15-5</t>
  </si>
  <si>
    <t>左15-6</t>
  </si>
  <si>
    <t>左16-1</t>
  </si>
  <si>
    <t>左16-2</t>
  </si>
  <si>
    <t>左16-3</t>
  </si>
  <si>
    <t>左16-4</t>
  </si>
  <si>
    <t>左16-5</t>
  </si>
  <si>
    <t>左16-6</t>
  </si>
  <si>
    <t>左17-1</t>
  </si>
  <si>
    <t>左17-2</t>
  </si>
  <si>
    <t>左17-3</t>
  </si>
  <si>
    <t>左17-4</t>
  </si>
  <si>
    <t>左17-5</t>
  </si>
  <si>
    <t>左17-6</t>
  </si>
  <si>
    <t>左18-1</t>
  </si>
  <si>
    <t>左18-2</t>
  </si>
  <si>
    <t>左18-3</t>
  </si>
  <si>
    <t>左18-4</t>
  </si>
  <si>
    <t>左18-5</t>
  </si>
  <si>
    <t>左18-6</t>
  </si>
  <si>
    <t>左19-1</t>
  </si>
  <si>
    <t>左19-2</t>
  </si>
  <si>
    <t>左19-3</t>
  </si>
  <si>
    <t>左19-4</t>
  </si>
  <si>
    <t>左19-5</t>
  </si>
  <si>
    <t>左19-6</t>
  </si>
  <si>
    <t>左20-1</t>
  </si>
  <si>
    <t>左20-2</t>
  </si>
  <si>
    <t>左20-3</t>
  </si>
  <si>
    <t>左20-4</t>
  </si>
  <si>
    <t>左20-5</t>
  </si>
  <si>
    <t>左20-6</t>
  </si>
  <si>
    <t>左幅</t>
    <phoneticPr fontId="1" type="noConversion"/>
  </si>
  <si>
    <t>A1</t>
    <phoneticPr fontId="1" type="noConversion"/>
  </si>
  <si>
    <t>控制节段面</t>
    <phoneticPr fontId="1" type="noConversion"/>
  </si>
  <si>
    <t>控制点</t>
    <phoneticPr fontId="1" type="noConversion"/>
  </si>
  <si>
    <t>X(mm)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</si>
  <si>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</si>
  <si>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</si>
  <si>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</si>
  <si>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Y(mm)</t>
    <phoneticPr fontId="1" type="noConversion"/>
  </si>
  <si>
    <t>Z(mm)</t>
    <phoneticPr fontId="1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</si>
  <si>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</si>
  <si>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</si>
  <si>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</si>
  <si>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</si>
  <si>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</si>
  <si>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</si>
  <si>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</si>
  <si>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</si>
  <si>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</si>
  <si>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</si>
  <si>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</si>
  <si>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</si>
  <si>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</si>
  <si>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</si>
  <si>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</si>
  <si>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</si>
  <si>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</si>
  <si>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</si>
  <si>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</si>
  <si>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右幅</t>
    <phoneticPr fontId="1" type="noConversion"/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</si>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</sst>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6144-EEBF-43F8-9A93-B7D121E3DA1C}">
  <dimension ref="A1:U251"/>
  <sheetViews>
    <sheetView tabSelected="1" topLeftCell="A144" workbookViewId="0">
      <selection activeCell="U132" sqref="U132:U251"/>
    </sheetView>
  </sheetViews>
  <sheetFormatPr defaultRowHeight="14.25" x14ac:dyDescent="0.2"/>
  <cols>
    <col min="8" max="10" width="14" customWidth="1"/>
    <col min="19" max="21" width="14.7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253</v>
      </c>
      <c r="I1" s="1" t="s">
        <v>254</v>
      </c>
      <c r="J1" s="1" t="s">
        <v>255</v>
      </c>
      <c r="L1" t="s">
        <v>0</v>
      </c>
      <c r="M1" t="s">
        <v>126</v>
      </c>
      <c r="N1" t="s">
        <v>127</v>
      </c>
      <c r="O1" t="s">
        <v>3</v>
      </c>
      <c r="P1" t="s">
        <v>4</v>
      </c>
      <c r="Q1" t="s">
        <v>5</v>
      </c>
      <c r="S1" s="1" t="s">
        <v>253</v>
      </c>
      <c r="T1" s="1" t="s">
        <v>254</v>
      </c>
      <c r="U1" s="1" t="s">
        <v>255</v>
      </c>
    </row>
    <row r="2" spans="1:21" x14ac:dyDescent="0.2">
      <c r="A2" t="s">
        <v>6</v>
      </c>
      <c r="B2">
        <v>1</v>
      </c>
      <c r="C2">
        <v>1</v>
      </c>
      <c r="D2">
        <v>-93.972499999999997</v>
      </c>
      <c r="E2">
        <v>-13.062200000000001</v>
      </c>
      <c r="F2">
        <v>4.3551000000000002</v>
      </c>
      <c r="H2" s="2">
        <f>D2*1000</f>
        <v>-93972.5</v>
      </c>
      <c r="I2" s="2">
        <f t="shared" ref="I2:J2" si="0">E2*1000</f>
        <v>-13062.2</v>
      </c>
      <c r="J2" s="2">
        <f t="shared" si="0"/>
        <v>4355.1000000000004</v>
      </c>
      <c r="L2" t="s">
        <v>128</v>
      </c>
      <c r="M2">
        <v>1</v>
      </c>
      <c r="N2">
        <v>1</v>
      </c>
      <c r="O2">
        <v>-93.972499999999997</v>
      </c>
      <c r="P2">
        <v>13.062200000000001</v>
      </c>
      <c r="Q2">
        <v>4.3551000000000002</v>
      </c>
      <c r="S2" s="2">
        <f>O2*1000</f>
        <v>-93972.5</v>
      </c>
      <c r="T2" s="2">
        <f t="shared" ref="T2:T65" si="1">P2*1000</f>
        <v>13062.2</v>
      </c>
      <c r="U2" s="2">
        <f t="shared" ref="U2:U65" si="2">Q2*1000</f>
        <v>4355.1000000000004</v>
      </c>
    </row>
    <row r="3" spans="1:21" x14ac:dyDescent="0.2">
      <c r="A3" t="s">
        <v>7</v>
      </c>
      <c r="B3">
        <v>1</v>
      </c>
      <c r="C3">
        <v>2</v>
      </c>
      <c r="D3">
        <v>-93.972499999999997</v>
      </c>
      <c r="E3">
        <v>-14.625999999999999</v>
      </c>
      <c r="F3">
        <v>4.6590999999999996</v>
      </c>
      <c r="H3" s="2">
        <f t="shared" ref="H3:H66" si="3">D3*1000</f>
        <v>-93972.5</v>
      </c>
      <c r="I3" s="2">
        <f t="shared" ref="I3:I66" si="4">E3*1000</f>
        <v>-14626</v>
      </c>
      <c r="J3" s="2">
        <f t="shared" ref="J3:J66" si="5">F3*1000</f>
        <v>4659.0999999999995</v>
      </c>
      <c r="L3" t="s">
        <v>129</v>
      </c>
      <c r="M3">
        <v>1</v>
      </c>
      <c r="N3">
        <v>2</v>
      </c>
      <c r="O3">
        <v>-93.972499999999997</v>
      </c>
      <c r="P3">
        <v>14.625999999999999</v>
      </c>
      <c r="Q3">
        <v>4.6590999999999996</v>
      </c>
      <c r="S3" s="2">
        <f t="shared" ref="S3:S66" si="6">O3*1000</f>
        <v>-93972.5</v>
      </c>
      <c r="T3" s="2">
        <f t="shared" si="1"/>
        <v>14626</v>
      </c>
      <c r="U3" s="2">
        <f t="shared" si="2"/>
        <v>4659.0999999999995</v>
      </c>
    </row>
    <row r="4" spans="1:21" x14ac:dyDescent="0.2">
      <c r="A4" t="s">
        <v>8</v>
      </c>
      <c r="B4">
        <v>1</v>
      </c>
      <c r="C4">
        <v>3</v>
      </c>
      <c r="D4">
        <v>-93</v>
      </c>
      <c r="E4">
        <v>-12.9092</v>
      </c>
      <c r="F4">
        <v>2.7656999999999998</v>
      </c>
      <c r="H4" s="2">
        <f t="shared" si="3"/>
        <v>-93000</v>
      </c>
      <c r="I4" s="2">
        <f t="shared" si="4"/>
        <v>-12909.2</v>
      </c>
      <c r="J4" s="2">
        <f t="shared" si="5"/>
        <v>2765.7</v>
      </c>
      <c r="L4" t="s">
        <v>130</v>
      </c>
      <c r="M4">
        <v>1</v>
      </c>
      <c r="N4">
        <v>3</v>
      </c>
      <c r="O4">
        <v>-93</v>
      </c>
      <c r="P4">
        <v>12.9092</v>
      </c>
      <c r="Q4">
        <v>2.7656999999999998</v>
      </c>
      <c r="S4" s="2">
        <f t="shared" si="6"/>
        <v>-93000</v>
      </c>
      <c r="T4" s="2">
        <f t="shared" si="1"/>
        <v>12909.2</v>
      </c>
      <c r="U4" s="2">
        <f t="shared" si="2"/>
        <v>2765.7</v>
      </c>
    </row>
    <row r="5" spans="1:21" x14ac:dyDescent="0.2">
      <c r="A5" t="s">
        <v>9</v>
      </c>
      <c r="B5">
        <v>1</v>
      </c>
      <c r="C5">
        <v>4</v>
      </c>
      <c r="D5">
        <v>-93</v>
      </c>
      <c r="E5">
        <v>-15.363200000000001</v>
      </c>
      <c r="F5">
        <v>3.2427000000000001</v>
      </c>
      <c r="H5" s="2">
        <f t="shared" si="3"/>
        <v>-93000</v>
      </c>
      <c r="I5" s="2">
        <f t="shared" si="4"/>
        <v>-15363.2</v>
      </c>
      <c r="J5" s="2">
        <f t="shared" si="5"/>
        <v>3242.7000000000003</v>
      </c>
      <c r="L5" t="s">
        <v>131</v>
      </c>
      <c r="M5">
        <v>1</v>
      </c>
      <c r="N5">
        <v>4</v>
      </c>
      <c r="O5">
        <v>-93</v>
      </c>
      <c r="P5">
        <v>15.363200000000001</v>
      </c>
      <c r="Q5">
        <v>3.2427000000000001</v>
      </c>
      <c r="S5" s="2">
        <f t="shared" si="6"/>
        <v>-93000</v>
      </c>
      <c r="T5" s="2">
        <f t="shared" si="1"/>
        <v>15363.2</v>
      </c>
      <c r="U5" s="2">
        <f t="shared" si="2"/>
        <v>3242.7000000000003</v>
      </c>
    </row>
    <row r="6" spans="1:21" x14ac:dyDescent="0.2">
      <c r="A6" t="s">
        <v>10</v>
      </c>
      <c r="B6">
        <v>1</v>
      </c>
      <c r="C6">
        <v>5</v>
      </c>
      <c r="D6">
        <v>-92.027500000000003</v>
      </c>
      <c r="E6">
        <v>-13.6464</v>
      </c>
      <c r="F6">
        <v>1.3493999999999999</v>
      </c>
      <c r="H6" s="2">
        <f t="shared" si="3"/>
        <v>-92027.5</v>
      </c>
      <c r="I6" s="2">
        <f t="shared" si="4"/>
        <v>-13646.4</v>
      </c>
      <c r="J6" s="2">
        <f t="shared" si="5"/>
        <v>1349.3999999999999</v>
      </c>
      <c r="L6" t="s">
        <v>132</v>
      </c>
      <c r="M6">
        <v>1</v>
      </c>
      <c r="N6">
        <v>5</v>
      </c>
      <c r="O6">
        <v>-92.027500000000003</v>
      </c>
      <c r="P6">
        <v>13.6464</v>
      </c>
      <c r="Q6">
        <v>1.3493999999999999</v>
      </c>
      <c r="S6" s="2">
        <f t="shared" si="6"/>
        <v>-92027.5</v>
      </c>
      <c r="T6" s="2">
        <f t="shared" si="1"/>
        <v>13646.4</v>
      </c>
      <c r="U6" s="2">
        <f t="shared" si="2"/>
        <v>1349.3999999999999</v>
      </c>
    </row>
    <row r="7" spans="1:21" x14ac:dyDescent="0.2">
      <c r="A7" t="s">
        <v>11</v>
      </c>
      <c r="B7">
        <v>1</v>
      </c>
      <c r="C7">
        <v>6</v>
      </c>
      <c r="D7">
        <v>-92.027500000000003</v>
      </c>
      <c r="E7">
        <v>-15.2103</v>
      </c>
      <c r="F7">
        <v>1.6534</v>
      </c>
      <c r="H7" s="2">
        <f t="shared" si="3"/>
        <v>-92027.5</v>
      </c>
      <c r="I7" s="2">
        <f t="shared" si="4"/>
        <v>-15210.3</v>
      </c>
      <c r="J7" s="2">
        <f t="shared" si="5"/>
        <v>1653.4</v>
      </c>
      <c r="L7" t="s">
        <v>133</v>
      </c>
      <c r="M7">
        <v>1</v>
      </c>
      <c r="N7">
        <v>6</v>
      </c>
      <c r="O7">
        <v>-92.027500000000003</v>
      </c>
      <c r="P7">
        <v>15.2103</v>
      </c>
      <c r="Q7">
        <v>1.6534</v>
      </c>
      <c r="S7" s="2">
        <f t="shared" si="6"/>
        <v>-92027.5</v>
      </c>
      <c r="T7" s="2">
        <f t="shared" si="1"/>
        <v>15210.3</v>
      </c>
      <c r="U7" s="2">
        <f t="shared" si="2"/>
        <v>1653.4</v>
      </c>
    </row>
    <row r="8" spans="1:21" x14ac:dyDescent="0.2">
      <c r="A8" t="s">
        <v>12</v>
      </c>
      <c r="B8">
        <v>2</v>
      </c>
      <c r="C8">
        <v>1</v>
      </c>
      <c r="D8">
        <v>-83.851399999999998</v>
      </c>
      <c r="E8">
        <v>-11.8993</v>
      </c>
      <c r="F8">
        <v>10.2226</v>
      </c>
      <c r="H8" s="2">
        <f t="shared" si="3"/>
        <v>-83851.399999999994</v>
      </c>
      <c r="I8" s="2">
        <f t="shared" si="4"/>
        <v>-11899.300000000001</v>
      </c>
      <c r="J8" s="2">
        <f t="shared" si="5"/>
        <v>10222.6</v>
      </c>
      <c r="L8" t="s">
        <v>134</v>
      </c>
      <c r="M8">
        <v>2</v>
      </c>
      <c r="N8">
        <v>1</v>
      </c>
      <c r="O8">
        <v>-83.851399999999998</v>
      </c>
      <c r="P8">
        <v>11.8993</v>
      </c>
      <c r="Q8">
        <v>10.2226</v>
      </c>
      <c r="S8" s="2">
        <f t="shared" si="6"/>
        <v>-83851.399999999994</v>
      </c>
      <c r="T8" s="2">
        <f t="shared" si="1"/>
        <v>11899.300000000001</v>
      </c>
      <c r="U8" s="2">
        <f t="shared" si="2"/>
        <v>10222.6</v>
      </c>
    </row>
    <row r="9" spans="1:21" x14ac:dyDescent="0.2">
      <c r="A9" t="s">
        <v>13</v>
      </c>
      <c r="B9">
        <v>2</v>
      </c>
      <c r="C9">
        <v>2</v>
      </c>
      <c r="D9">
        <v>-83.851399999999998</v>
      </c>
      <c r="E9">
        <v>-13.5061</v>
      </c>
      <c r="F9">
        <v>10.5349</v>
      </c>
      <c r="H9" s="2">
        <f t="shared" si="3"/>
        <v>-83851.399999999994</v>
      </c>
      <c r="I9" s="2">
        <f t="shared" si="4"/>
        <v>-13506.1</v>
      </c>
      <c r="J9" s="2">
        <f t="shared" si="5"/>
        <v>10534.9</v>
      </c>
      <c r="L9" t="s">
        <v>135</v>
      </c>
      <c r="M9">
        <v>2</v>
      </c>
      <c r="N9">
        <v>2</v>
      </c>
      <c r="O9">
        <v>-83.851399999999998</v>
      </c>
      <c r="P9">
        <v>13.5061</v>
      </c>
      <c r="Q9">
        <v>10.5349</v>
      </c>
      <c r="S9" s="2">
        <f t="shared" si="6"/>
        <v>-83851.399999999994</v>
      </c>
      <c r="T9" s="2">
        <f t="shared" si="1"/>
        <v>13506.1</v>
      </c>
      <c r="U9" s="2">
        <f t="shared" si="2"/>
        <v>10534.9</v>
      </c>
    </row>
    <row r="10" spans="1:21" x14ac:dyDescent="0.2">
      <c r="A10" t="s">
        <v>14</v>
      </c>
      <c r="B10">
        <v>2</v>
      </c>
      <c r="C10">
        <v>3</v>
      </c>
      <c r="D10">
        <v>-83</v>
      </c>
      <c r="E10">
        <v>-11.7623</v>
      </c>
      <c r="F10">
        <v>8.6661000000000001</v>
      </c>
      <c r="H10" s="2">
        <f t="shared" si="3"/>
        <v>-83000</v>
      </c>
      <c r="I10" s="2">
        <f t="shared" si="4"/>
        <v>-11762.3</v>
      </c>
      <c r="J10" s="2">
        <f t="shared" si="5"/>
        <v>8666.1</v>
      </c>
      <c r="L10" t="s">
        <v>136</v>
      </c>
      <c r="M10">
        <v>2</v>
      </c>
      <c r="N10">
        <v>3</v>
      </c>
      <c r="O10">
        <v>-83</v>
      </c>
      <c r="P10">
        <v>11.7623</v>
      </c>
      <c r="Q10">
        <v>8.6661000000000001</v>
      </c>
      <c r="S10" s="2">
        <f t="shared" si="6"/>
        <v>-83000</v>
      </c>
      <c r="T10" s="2">
        <f t="shared" si="1"/>
        <v>11762.3</v>
      </c>
      <c r="U10" s="2">
        <f t="shared" si="2"/>
        <v>8666.1</v>
      </c>
    </row>
    <row r="11" spans="1:21" x14ac:dyDescent="0.2">
      <c r="A11" t="s">
        <v>15</v>
      </c>
      <c r="B11">
        <v>2</v>
      </c>
      <c r="C11">
        <v>4</v>
      </c>
      <c r="D11">
        <v>-83</v>
      </c>
      <c r="E11">
        <v>-14.2163</v>
      </c>
      <c r="F11">
        <v>9.1431000000000004</v>
      </c>
      <c r="H11" s="2">
        <f t="shared" si="3"/>
        <v>-83000</v>
      </c>
      <c r="I11" s="2">
        <f t="shared" si="4"/>
        <v>-14216.300000000001</v>
      </c>
      <c r="J11" s="2">
        <f t="shared" si="5"/>
        <v>9143.1</v>
      </c>
      <c r="L11" t="s">
        <v>137</v>
      </c>
      <c r="M11">
        <v>2</v>
      </c>
      <c r="N11">
        <v>4</v>
      </c>
      <c r="O11">
        <v>-83</v>
      </c>
      <c r="P11">
        <v>14.2163</v>
      </c>
      <c r="Q11">
        <v>9.1431000000000004</v>
      </c>
      <c r="S11" s="2">
        <f t="shared" si="6"/>
        <v>-83000</v>
      </c>
      <c r="T11" s="2">
        <f t="shared" si="1"/>
        <v>14216.300000000001</v>
      </c>
      <c r="U11" s="2">
        <f t="shared" si="2"/>
        <v>9143.1</v>
      </c>
    </row>
    <row r="12" spans="1:21" x14ac:dyDescent="0.2">
      <c r="A12" t="s">
        <v>16</v>
      </c>
      <c r="B12">
        <v>2</v>
      </c>
      <c r="C12">
        <v>5</v>
      </c>
      <c r="D12">
        <v>-82.148600000000002</v>
      </c>
      <c r="E12">
        <v>-12.4724</v>
      </c>
      <c r="F12">
        <v>7.2743000000000002</v>
      </c>
      <c r="H12" s="2">
        <f t="shared" si="3"/>
        <v>-82148.600000000006</v>
      </c>
      <c r="I12" s="2">
        <f t="shared" si="4"/>
        <v>-12472.4</v>
      </c>
      <c r="J12" s="2">
        <f t="shared" si="5"/>
        <v>7274.3</v>
      </c>
      <c r="L12" t="s">
        <v>138</v>
      </c>
      <c r="M12">
        <v>2</v>
      </c>
      <c r="N12">
        <v>5</v>
      </c>
      <c r="O12">
        <v>-82.148600000000002</v>
      </c>
      <c r="P12">
        <v>12.4724</v>
      </c>
      <c r="Q12">
        <v>7.2743000000000002</v>
      </c>
      <c r="S12" s="2">
        <f t="shared" si="6"/>
        <v>-82148.600000000006</v>
      </c>
      <c r="T12" s="2">
        <f t="shared" si="1"/>
        <v>12472.4</v>
      </c>
      <c r="U12" s="2">
        <f t="shared" si="2"/>
        <v>7274.3</v>
      </c>
    </row>
    <row r="13" spans="1:21" x14ac:dyDescent="0.2">
      <c r="A13" t="s">
        <v>17</v>
      </c>
      <c r="B13">
        <v>2</v>
      </c>
      <c r="C13">
        <v>6</v>
      </c>
      <c r="D13">
        <v>-82.148600000000002</v>
      </c>
      <c r="E13">
        <v>-14.0792</v>
      </c>
      <c r="F13">
        <v>7.5867000000000004</v>
      </c>
      <c r="H13" s="2">
        <f t="shared" si="3"/>
        <v>-82148.600000000006</v>
      </c>
      <c r="I13" s="2">
        <f t="shared" si="4"/>
        <v>-14079.2</v>
      </c>
      <c r="J13" s="2">
        <f t="shared" si="5"/>
        <v>7586.7000000000007</v>
      </c>
      <c r="L13" t="s">
        <v>139</v>
      </c>
      <c r="M13">
        <v>2</v>
      </c>
      <c r="N13">
        <v>6</v>
      </c>
      <c r="O13">
        <v>-82.148600000000002</v>
      </c>
      <c r="P13">
        <v>14.0792</v>
      </c>
      <c r="Q13">
        <v>7.5867000000000004</v>
      </c>
      <c r="S13" s="2">
        <f t="shared" si="6"/>
        <v>-82148.600000000006</v>
      </c>
      <c r="T13" s="2">
        <f t="shared" si="1"/>
        <v>14079.2</v>
      </c>
      <c r="U13" s="2">
        <f t="shared" si="2"/>
        <v>7586.7000000000007</v>
      </c>
    </row>
    <row r="14" spans="1:21" x14ac:dyDescent="0.2">
      <c r="A14" t="s">
        <v>18</v>
      </c>
      <c r="B14">
        <v>3</v>
      </c>
      <c r="C14">
        <v>1</v>
      </c>
      <c r="D14">
        <v>-77.7791</v>
      </c>
      <c r="E14">
        <v>-11.264799999999999</v>
      </c>
      <c r="F14">
        <v>13.4185</v>
      </c>
      <c r="H14" s="2">
        <f t="shared" si="3"/>
        <v>-77779.100000000006</v>
      </c>
      <c r="I14" s="2">
        <f t="shared" si="4"/>
        <v>-11264.8</v>
      </c>
      <c r="J14" s="2">
        <f t="shared" si="5"/>
        <v>13418.5</v>
      </c>
      <c r="L14" t="s">
        <v>140</v>
      </c>
      <c r="M14">
        <v>3</v>
      </c>
      <c r="N14">
        <v>1</v>
      </c>
      <c r="O14">
        <v>-77.7791</v>
      </c>
      <c r="P14">
        <v>11.264799999999999</v>
      </c>
      <c r="Q14">
        <v>13.4185</v>
      </c>
      <c r="S14" s="2">
        <f t="shared" si="6"/>
        <v>-77779.100000000006</v>
      </c>
      <c r="T14" s="2">
        <f t="shared" si="1"/>
        <v>11264.8</v>
      </c>
      <c r="U14" s="2">
        <f t="shared" si="2"/>
        <v>13418.5</v>
      </c>
    </row>
    <row r="15" spans="1:21" x14ac:dyDescent="0.2">
      <c r="A15" t="s">
        <v>19</v>
      </c>
      <c r="B15">
        <v>3</v>
      </c>
      <c r="C15">
        <v>2</v>
      </c>
      <c r="D15">
        <v>-77.7791</v>
      </c>
      <c r="E15">
        <v>-12.8973</v>
      </c>
      <c r="F15">
        <v>13.735799999999999</v>
      </c>
      <c r="H15" s="2">
        <f t="shared" si="3"/>
        <v>-77779.100000000006</v>
      </c>
      <c r="I15" s="2">
        <f t="shared" si="4"/>
        <v>-12897.3</v>
      </c>
      <c r="J15" s="2">
        <f t="shared" si="5"/>
        <v>13735.8</v>
      </c>
      <c r="L15" t="s">
        <v>141</v>
      </c>
      <c r="M15">
        <v>3</v>
      </c>
      <c r="N15">
        <v>2</v>
      </c>
      <c r="O15">
        <v>-77.7791</v>
      </c>
      <c r="P15">
        <v>12.8973</v>
      </c>
      <c r="Q15">
        <v>13.735799999999999</v>
      </c>
      <c r="S15" s="2">
        <f t="shared" si="6"/>
        <v>-77779.100000000006</v>
      </c>
      <c r="T15" s="2">
        <f t="shared" si="1"/>
        <v>12897.3</v>
      </c>
      <c r="U15" s="2">
        <f t="shared" si="2"/>
        <v>13735.8</v>
      </c>
    </row>
    <row r="16" spans="1:21" x14ac:dyDescent="0.2">
      <c r="A16" t="s">
        <v>20</v>
      </c>
      <c r="B16">
        <v>3</v>
      </c>
      <c r="C16">
        <v>3</v>
      </c>
      <c r="D16">
        <v>-77</v>
      </c>
      <c r="E16">
        <v>-11.136699999999999</v>
      </c>
      <c r="F16">
        <v>11.884499999999999</v>
      </c>
      <c r="H16" s="2">
        <f t="shared" si="3"/>
        <v>-77000</v>
      </c>
      <c r="I16" s="2">
        <f t="shared" si="4"/>
        <v>-11136.699999999999</v>
      </c>
      <c r="J16" s="2">
        <f t="shared" si="5"/>
        <v>11884.5</v>
      </c>
      <c r="L16" t="s">
        <v>142</v>
      </c>
      <c r="M16">
        <v>3</v>
      </c>
      <c r="N16">
        <v>3</v>
      </c>
      <c r="O16">
        <v>-77</v>
      </c>
      <c r="P16">
        <v>11.136699999999999</v>
      </c>
      <c r="Q16">
        <v>11.884499999999999</v>
      </c>
      <c r="S16" s="2">
        <f t="shared" si="6"/>
        <v>-77000</v>
      </c>
      <c r="T16" s="2">
        <f t="shared" si="1"/>
        <v>11136.699999999999</v>
      </c>
      <c r="U16" s="2">
        <f t="shared" si="2"/>
        <v>11884.5</v>
      </c>
    </row>
    <row r="17" spans="1:21" x14ac:dyDescent="0.2">
      <c r="A17" t="s">
        <v>21</v>
      </c>
      <c r="B17">
        <v>3</v>
      </c>
      <c r="C17">
        <v>4</v>
      </c>
      <c r="D17">
        <v>-77</v>
      </c>
      <c r="E17">
        <v>-13.5907</v>
      </c>
      <c r="F17">
        <v>12.361499999999999</v>
      </c>
      <c r="H17" s="2">
        <f t="shared" si="3"/>
        <v>-77000</v>
      </c>
      <c r="I17" s="2">
        <f t="shared" si="4"/>
        <v>-13590.7</v>
      </c>
      <c r="J17" s="2">
        <f t="shared" si="5"/>
        <v>12361.5</v>
      </c>
      <c r="L17" t="s">
        <v>143</v>
      </c>
      <c r="M17">
        <v>3</v>
      </c>
      <c r="N17">
        <v>4</v>
      </c>
      <c r="O17">
        <v>-77</v>
      </c>
      <c r="P17">
        <v>13.5907</v>
      </c>
      <c r="Q17">
        <v>12.361499999999999</v>
      </c>
      <c r="S17" s="2">
        <f t="shared" si="6"/>
        <v>-77000</v>
      </c>
      <c r="T17" s="2">
        <f t="shared" si="1"/>
        <v>13590.7</v>
      </c>
      <c r="U17" s="2">
        <f t="shared" si="2"/>
        <v>12361.5</v>
      </c>
    </row>
    <row r="18" spans="1:21" x14ac:dyDescent="0.2">
      <c r="A18" t="s">
        <v>22</v>
      </c>
      <c r="B18">
        <v>3</v>
      </c>
      <c r="C18">
        <v>5</v>
      </c>
      <c r="D18">
        <v>-76.2209</v>
      </c>
      <c r="E18">
        <v>-11.8301</v>
      </c>
      <c r="F18">
        <v>10.510199999999999</v>
      </c>
      <c r="H18" s="2">
        <f t="shared" si="3"/>
        <v>-76220.899999999994</v>
      </c>
      <c r="I18" s="2">
        <f t="shared" si="4"/>
        <v>-11830.1</v>
      </c>
      <c r="J18" s="2">
        <f t="shared" si="5"/>
        <v>10510.199999999999</v>
      </c>
      <c r="L18" t="s">
        <v>144</v>
      </c>
      <c r="M18">
        <v>3</v>
      </c>
      <c r="N18">
        <v>5</v>
      </c>
      <c r="O18">
        <v>-76.2209</v>
      </c>
      <c r="P18">
        <v>11.8301</v>
      </c>
      <c r="Q18">
        <v>10.510199999999999</v>
      </c>
      <c r="S18" s="2">
        <f t="shared" si="6"/>
        <v>-76220.899999999994</v>
      </c>
      <c r="T18" s="2">
        <f t="shared" si="1"/>
        <v>11830.1</v>
      </c>
      <c r="U18" s="2">
        <f t="shared" si="2"/>
        <v>10510.199999999999</v>
      </c>
    </row>
    <row r="19" spans="1:21" x14ac:dyDescent="0.2">
      <c r="A19" t="s">
        <v>23</v>
      </c>
      <c r="B19">
        <v>3</v>
      </c>
      <c r="C19">
        <v>6</v>
      </c>
      <c r="D19">
        <v>-76.2209</v>
      </c>
      <c r="E19">
        <v>-13.4626</v>
      </c>
      <c r="F19">
        <v>10.8276</v>
      </c>
      <c r="H19" s="2">
        <f t="shared" si="3"/>
        <v>-76220.899999999994</v>
      </c>
      <c r="I19" s="2">
        <f t="shared" si="4"/>
        <v>-13462.6</v>
      </c>
      <c r="J19" s="2">
        <f t="shared" si="5"/>
        <v>10827.6</v>
      </c>
      <c r="L19" t="s">
        <v>145</v>
      </c>
      <c r="M19">
        <v>3</v>
      </c>
      <c r="N19">
        <v>6</v>
      </c>
      <c r="O19">
        <v>-76.2209</v>
      </c>
      <c r="P19">
        <v>13.4626</v>
      </c>
      <c r="Q19">
        <v>10.8276</v>
      </c>
      <c r="S19" s="2">
        <f t="shared" si="6"/>
        <v>-76220.899999999994</v>
      </c>
      <c r="T19" s="2">
        <f t="shared" si="1"/>
        <v>13462.6</v>
      </c>
      <c r="U19" s="2">
        <f t="shared" si="2"/>
        <v>10827.6</v>
      </c>
    </row>
    <row r="20" spans="1:21" x14ac:dyDescent="0.2">
      <c r="A20" t="s">
        <v>24</v>
      </c>
      <c r="B20">
        <v>4</v>
      </c>
      <c r="C20">
        <v>1</v>
      </c>
      <c r="D20">
        <v>-69</v>
      </c>
      <c r="E20">
        <v>-10.375500000000001</v>
      </c>
      <c r="F20">
        <v>15.8002</v>
      </c>
      <c r="H20" s="2">
        <f t="shared" si="3"/>
        <v>-69000</v>
      </c>
      <c r="I20" s="2">
        <f t="shared" si="4"/>
        <v>-10375.5</v>
      </c>
      <c r="J20" s="2">
        <f t="shared" si="5"/>
        <v>15800.2</v>
      </c>
      <c r="L20" t="s">
        <v>146</v>
      </c>
      <c r="M20">
        <v>4</v>
      </c>
      <c r="N20">
        <v>1</v>
      </c>
      <c r="O20">
        <v>-69</v>
      </c>
      <c r="P20">
        <v>10.375500000000001</v>
      </c>
      <c r="Q20">
        <v>15.8002</v>
      </c>
      <c r="S20" s="2">
        <f t="shared" si="6"/>
        <v>-69000</v>
      </c>
      <c r="T20" s="2">
        <f t="shared" si="1"/>
        <v>10375.5</v>
      </c>
      <c r="U20" s="2">
        <f t="shared" si="2"/>
        <v>15800.2</v>
      </c>
    </row>
    <row r="21" spans="1:21" x14ac:dyDescent="0.2">
      <c r="A21" t="s">
        <v>25</v>
      </c>
      <c r="B21">
        <v>4</v>
      </c>
      <c r="C21">
        <v>2</v>
      </c>
      <c r="D21">
        <v>-69</v>
      </c>
      <c r="E21">
        <v>-12.829599999999999</v>
      </c>
      <c r="F21">
        <v>16.2773</v>
      </c>
      <c r="H21" s="2">
        <f t="shared" si="3"/>
        <v>-69000</v>
      </c>
      <c r="I21" s="2">
        <f t="shared" si="4"/>
        <v>-12829.599999999999</v>
      </c>
      <c r="J21" s="2">
        <f t="shared" si="5"/>
        <v>16277.300000000001</v>
      </c>
      <c r="L21" t="s">
        <v>147</v>
      </c>
      <c r="M21">
        <v>4</v>
      </c>
      <c r="N21">
        <v>2</v>
      </c>
      <c r="O21">
        <v>-69</v>
      </c>
      <c r="P21">
        <v>12.829599999999999</v>
      </c>
      <c r="Q21">
        <v>16.2773</v>
      </c>
      <c r="S21" s="2">
        <f t="shared" si="6"/>
        <v>-69000</v>
      </c>
      <c r="T21" s="2">
        <f t="shared" si="1"/>
        <v>12829.599999999999</v>
      </c>
      <c r="U21" s="2">
        <f t="shared" si="2"/>
        <v>16277.300000000001</v>
      </c>
    </row>
    <row r="22" spans="1:21" x14ac:dyDescent="0.2">
      <c r="A22" t="s">
        <v>26</v>
      </c>
      <c r="B22">
        <v>4</v>
      </c>
      <c r="C22">
        <v>3</v>
      </c>
      <c r="D22">
        <v>-68.998599999999996</v>
      </c>
      <c r="E22">
        <v>-10.4308</v>
      </c>
      <c r="F22">
        <v>17.609500000000001</v>
      </c>
      <c r="H22" s="2">
        <f t="shared" si="3"/>
        <v>-68998.599999999991</v>
      </c>
      <c r="I22" s="2">
        <f t="shared" si="4"/>
        <v>-10430.799999999999</v>
      </c>
      <c r="J22" s="2">
        <f t="shared" si="5"/>
        <v>17609.5</v>
      </c>
      <c r="L22" t="s">
        <v>148</v>
      </c>
      <c r="M22">
        <v>4</v>
      </c>
      <c r="N22">
        <v>3</v>
      </c>
      <c r="O22">
        <v>-68.998599999999996</v>
      </c>
      <c r="P22">
        <v>10.4308</v>
      </c>
      <c r="Q22">
        <v>17.609500000000001</v>
      </c>
      <c r="S22" s="2">
        <f t="shared" si="6"/>
        <v>-68998.599999999991</v>
      </c>
      <c r="T22" s="2">
        <f t="shared" si="1"/>
        <v>10430.799999999999</v>
      </c>
      <c r="U22" s="2">
        <f t="shared" si="2"/>
        <v>17609.5</v>
      </c>
    </row>
    <row r="23" spans="1:21" x14ac:dyDescent="0.2">
      <c r="A23" t="s">
        <v>27</v>
      </c>
      <c r="B23">
        <v>4</v>
      </c>
      <c r="C23">
        <v>4</v>
      </c>
      <c r="D23">
        <v>-68.998599999999996</v>
      </c>
      <c r="E23">
        <v>-12.1006</v>
      </c>
      <c r="F23">
        <v>17.934100000000001</v>
      </c>
      <c r="H23" s="2">
        <f t="shared" si="3"/>
        <v>-68998.599999999991</v>
      </c>
      <c r="I23" s="2">
        <f t="shared" si="4"/>
        <v>-12100.6</v>
      </c>
      <c r="J23" s="2">
        <f t="shared" si="5"/>
        <v>17934.100000000002</v>
      </c>
      <c r="L23" t="s">
        <v>149</v>
      </c>
      <c r="M23">
        <v>4</v>
      </c>
      <c r="N23">
        <v>4</v>
      </c>
      <c r="O23">
        <v>-68.998599999999996</v>
      </c>
      <c r="P23">
        <v>12.1006</v>
      </c>
      <c r="Q23">
        <v>17.934100000000001</v>
      </c>
      <c r="S23" s="2">
        <f t="shared" si="6"/>
        <v>-68998.599999999991</v>
      </c>
      <c r="T23" s="2">
        <f t="shared" si="1"/>
        <v>12100.6</v>
      </c>
      <c r="U23" s="2">
        <f t="shared" si="2"/>
        <v>17934.100000000002</v>
      </c>
    </row>
    <row r="24" spans="1:21" x14ac:dyDescent="0.2">
      <c r="A24" t="s">
        <v>28</v>
      </c>
      <c r="B24">
        <v>4</v>
      </c>
      <c r="C24">
        <v>5</v>
      </c>
      <c r="D24">
        <v>-68.998500000000007</v>
      </c>
      <c r="E24">
        <v>-11.110300000000001</v>
      </c>
      <c r="F24">
        <v>14.129200000000001</v>
      </c>
      <c r="H24" s="2">
        <f t="shared" si="3"/>
        <v>-68998.5</v>
      </c>
      <c r="I24" s="2">
        <f t="shared" si="4"/>
        <v>-11110.300000000001</v>
      </c>
      <c r="J24" s="2">
        <f t="shared" si="5"/>
        <v>14129.2</v>
      </c>
      <c r="L24" t="s">
        <v>150</v>
      </c>
      <c r="M24">
        <v>4</v>
      </c>
      <c r="N24">
        <v>5</v>
      </c>
      <c r="O24">
        <v>-68.998500000000007</v>
      </c>
      <c r="P24">
        <v>11.110300000000001</v>
      </c>
      <c r="Q24">
        <v>14.129200000000001</v>
      </c>
      <c r="S24" s="2">
        <f t="shared" si="6"/>
        <v>-68998.5</v>
      </c>
      <c r="T24" s="2">
        <f t="shared" si="1"/>
        <v>11110.300000000001</v>
      </c>
      <c r="U24" s="2">
        <f t="shared" si="2"/>
        <v>14129.2</v>
      </c>
    </row>
    <row r="25" spans="1:21" x14ac:dyDescent="0.2">
      <c r="A25" t="s">
        <v>29</v>
      </c>
      <c r="B25">
        <v>4</v>
      </c>
      <c r="C25">
        <v>6</v>
      </c>
      <c r="D25">
        <v>-68.998500000000007</v>
      </c>
      <c r="E25">
        <v>-12.7743</v>
      </c>
      <c r="F25">
        <v>14.4527</v>
      </c>
      <c r="H25" s="2">
        <f t="shared" si="3"/>
        <v>-68998.5</v>
      </c>
      <c r="I25" s="2">
        <f t="shared" si="4"/>
        <v>-12774.300000000001</v>
      </c>
      <c r="J25" s="2">
        <f t="shared" si="5"/>
        <v>14452.7</v>
      </c>
      <c r="L25" t="s">
        <v>151</v>
      </c>
      <c r="M25">
        <v>4</v>
      </c>
      <c r="N25">
        <v>6</v>
      </c>
      <c r="O25">
        <v>-68.998500000000007</v>
      </c>
      <c r="P25">
        <v>12.7743</v>
      </c>
      <c r="Q25">
        <v>14.4527</v>
      </c>
      <c r="S25" s="2">
        <f t="shared" si="6"/>
        <v>-68998.5</v>
      </c>
      <c r="T25" s="2">
        <f t="shared" si="1"/>
        <v>12774.300000000001</v>
      </c>
      <c r="U25" s="2">
        <f t="shared" si="2"/>
        <v>14452.7</v>
      </c>
    </row>
    <row r="26" spans="1:21" x14ac:dyDescent="0.2">
      <c r="A26" t="s">
        <v>30</v>
      </c>
      <c r="B26">
        <v>5</v>
      </c>
      <c r="C26">
        <v>1</v>
      </c>
      <c r="D26">
        <v>-59.566800000000001</v>
      </c>
      <c r="E26">
        <v>-9.6450999999999993</v>
      </c>
      <c r="F26">
        <v>21.5443</v>
      </c>
      <c r="H26" s="2">
        <f t="shared" si="3"/>
        <v>-59566.8</v>
      </c>
      <c r="I26" s="2">
        <f t="shared" si="4"/>
        <v>-9645.0999999999985</v>
      </c>
      <c r="J26" s="2">
        <f t="shared" si="5"/>
        <v>21544.3</v>
      </c>
      <c r="L26" t="s">
        <v>152</v>
      </c>
      <c r="M26">
        <v>5</v>
      </c>
      <c r="N26">
        <v>1</v>
      </c>
      <c r="O26">
        <v>-59.566800000000001</v>
      </c>
      <c r="P26">
        <v>9.6450999999999993</v>
      </c>
      <c r="Q26">
        <v>21.5443</v>
      </c>
      <c r="S26" s="2">
        <f t="shared" si="6"/>
        <v>-59566.8</v>
      </c>
      <c r="T26" s="2">
        <f t="shared" si="1"/>
        <v>9645.0999999999985</v>
      </c>
      <c r="U26" s="2">
        <f t="shared" si="2"/>
        <v>21544.3</v>
      </c>
    </row>
    <row r="27" spans="1:21" x14ac:dyDescent="0.2">
      <c r="A27" t="s">
        <v>31</v>
      </c>
      <c r="B27">
        <v>5</v>
      </c>
      <c r="C27">
        <v>2</v>
      </c>
      <c r="D27">
        <v>-59.566800000000001</v>
      </c>
      <c r="E27">
        <v>-11.355</v>
      </c>
      <c r="F27">
        <v>21.8766</v>
      </c>
      <c r="H27" s="2">
        <f t="shared" si="3"/>
        <v>-59566.8</v>
      </c>
      <c r="I27" s="2">
        <f t="shared" si="4"/>
        <v>-11355</v>
      </c>
      <c r="J27" s="2">
        <f t="shared" si="5"/>
        <v>21876.6</v>
      </c>
      <c r="L27" t="s">
        <v>153</v>
      </c>
      <c r="M27">
        <v>5</v>
      </c>
      <c r="N27">
        <v>2</v>
      </c>
      <c r="O27">
        <v>-59.566800000000001</v>
      </c>
      <c r="P27">
        <v>11.355</v>
      </c>
      <c r="Q27">
        <v>21.8766</v>
      </c>
      <c r="S27" s="2">
        <f t="shared" si="6"/>
        <v>-59566.8</v>
      </c>
      <c r="T27" s="2">
        <f t="shared" si="1"/>
        <v>11355</v>
      </c>
      <c r="U27" s="2">
        <f t="shared" si="2"/>
        <v>21876.6</v>
      </c>
    </row>
    <row r="28" spans="1:21" x14ac:dyDescent="0.2">
      <c r="A28" t="s">
        <v>32</v>
      </c>
      <c r="B28">
        <v>5</v>
      </c>
      <c r="C28">
        <v>3</v>
      </c>
      <c r="D28">
        <v>-59</v>
      </c>
      <c r="E28">
        <v>-9.5413999999999994</v>
      </c>
      <c r="F28">
        <v>20.0914</v>
      </c>
      <c r="H28" s="2">
        <f t="shared" si="3"/>
        <v>-59000</v>
      </c>
      <c r="I28" s="2">
        <f t="shared" si="4"/>
        <v>-9541.4</v>
      </c>
      <c r="J28" s="2">
        <f t="shared" si="5"/>
        <v>20091.400000000001</v>
      </c>
      <c r="L28" t="s">
        <v>154</v>
      </c>
      <c r="M28">
        <v>5</v>
      </c>
      <c r="N28">
        <v>3</v>
      </c>
      <c r="O28">
        <v>-59</v>
      </c>
      <c r="P28">
        <v>9.5413999999999994</v>
      </c>
      <c r="Q28">
        <v>20.0914</v>
      </c>
      <c r="S28" s="2">
        <f t="shared" si="6"/>
        <v>-59000</v>
      </c>
      <c r="T28" s="2">
        <f t="shared" si="1"/>
        <v>9541.4</v>
      </c>
      <c r="U28" s="2">
        <f t="shared" si="2"/>
        <v>20091.400000000001</v>
      </c>
    </row>
    <row r="29" spans="1:21" x14ac:dyDescent="0.2">
      <c r="A29" t="s">
        <v>33</v>
      </c>
      <c r="B29">
        <v>5</v>
      </c>
      <c r="C29">
        <v>4</v>
      </c>
      <c r="D29">
        <v>-59</v>
      </c>
      <c r="E29">
        <v>-11.9955</v>
      </c>
      <c r="F29">
        <v>20.5685</v>
      </c>
      <c r="H29" s="2">
        <f t="shared" si="3"/>
        <v>-59000</v>
      </c>
      <c r="I29" s="2">
        <f t="shared" si="4"/>
        <v>-11995.5</v>
      </c>
      <c r="J29" s="2">
        <f t="shared" si="5"/>
        <v>20568.5</v>
      </c>
      <c r="L29" t="s">
        <v>155</v>
      </c>
      <c r="M29">
        <v>5</v>
      </c>
      <c r="N29">
        <v>4</v>
      </c>
      <c r="O29">
        <v>-59</v>
      </c>
      <c r="P29">
        <v>11.9955</v>
      </c>
      <c r="Q29">
        <v>20.5685</v>
      </c>
      <c r="S29" s="2">
        <f t="shared" si="6"/>
        <v>-59000</v>
      </c>
      <c r="T29" s="2">
        <f t="shared" si="1"/>
        <v>11995.5</v>
      </c>
      <c r="U29" s="2">
        <f t="shared" si="2"/>
        <v>20568.5</v>
      </c>
    </row>
    <row r="30" spans="1:21" x14ac:dyDescent="0.2">
      <c r="A30" t="s">
        <v>34</v>
      </c>
      <c r="B30">
        <v>5</v>
      </c>
      <c r="C30">
        <v>5</v>
      </c>
      <c r="D30">
        <v>-58.433199999999999</v>
      </c>
      <c r="E30">
        <v>-10.181800000000001</v>
      </c>
      <c r="F30">
        <v>18.783300000000001</v>
      </c>
      <c r="H30" s="2">
        <f t="shared" si="3"/>
        <v>-58433.2</v>
      </c>
      <c r="I30" s="2">
        <f t="shared" si="4"/>
        <v>-10181.800000000001</v>
      </c>
      <c r="J30" s="2">
        <f t="shared" si="5"/>
        <v>18783.3</v>
      </c>
      <c r="L30" t="s">
        <v>156</v>
      </c>
      <c r="M30">
        <v>5</v>
      </c>
      <c r="N30">
        <v>5</v>
      </c>
      <c r="O30">
        <v>-58.433199999999999</v>
      </c>
      <c r="P30">
        <v>10.181800000000001</v>
      </c>
      <c r="Q30">
        <v>18.783300000000001</v>
      </c>
      <c r="S30" s="2">
        <f t="shared" si="6"/>
        <v>-58433.2</v>
      </c>
      <c r="T30" s="2">
        <f t="shared" si="1"/>
        <v>10181.800000000001</v>
      </c>
      <c r="U30" s="2">
        <f t="shared" si="2"/>
        <v>18783.3</v>
      </c>
    </row>
    <row r="31" spans="1:21" x14ac:dyDescent="0.2">
      <c r="A31" t="s">
        <v>35</v>
      </c>
      <c r="B31">
        <v>5</v>
      </c>
      <c r="C31">
        <v>6</v>
      </c>
      <c r="D31">
        <v>-58.433199999999999</v>
      </c>
      <c r="E31">
        <v>-11.8917</v>
      </c>
      <c r="F31">
        <v>19.115600000000001</v>
      </c>
      <c r="H31" s="2">
        <f t="shared" si="3"/>
        <v>-58433.2</v>
      </c>
      <c r="I31" s="2">
        <f t="shared" si="4"/>
        <v>-11891.7</v>
      </c>
      <c r="J31" s="2">
        <f t="shared" si="5"/>
        <v>19115.600000000002</v>
      </c>
      <c r="L31" t="s">
        <v>157</v>
      </c>
      <c r="M31">
        <v>5</v>
      </c>
      <c r="N31">
        <v>6</v>
      </c>
      <c r="O31">
        <v>-58.433199999999999</v>
      </c>
      <c r="P31">
        <v>11.8917</v>
      </c>
      <c r="Q31">
        <v>19.115600000000001</v>
      </c>
      <c r="S31" s="2">
        <f t="shared" si="6"/>
        <v>-58433.2</v>
      </c>
      <c r="T31" s="2">
        <f t="shared" si="1"/>
        <v>11891.7</v>
      </c>
      <c r="U31" s="2">
        <f t="shared" si="2"/>
        <v>19115.600000000002</v>
      </c>
    </row>
    <row r="32" spans="1:21" x14ac:dyDescent="0.2">
      <c r="A32" t="s">
        <v>36</v>
      </c>
      <c r="B32">
        <v>6</v>
      </c>
      <c r="C32">
        <v>1</v>
      </c>
      <c r="D32">
        <v>-50.464599999999997</v>
      </c>
      <c r="E32">
        <v>-8.9953000000000003</v>
      </c>
      <c r="F32">
        <v>24.784199999999998</v>
      </c>
      <c r="H32" s="2">
        <f t="shared" si="3"/>
        <v>-50464.6</v>
      </c>
      <c r="I32" s="2">
        <f t="shared" si="4"/>
        <v>-8995.3000000000011</v>
      </c>
      <c r="J32" s="2">
        <f t="shared" si="5"/>
        <v>24784.199999999997</v>
      </c>
      <c r="L32" t="s">
        <v>158</v>
      </c>
      <c r="M32">
        <v>6</v>
      </c>
      <c r="N32">
        <v>1</v>
      </c>
      <c r="O32">
        <v>-50.464599999999997</v>
      </c>
      <c r="P32">
        <v>8.9953000000000003</v>
      </c>
      <c r="Q32">
        <v>24.784199999999998</v>
      </c>
      <c r="S32" s="2">
        <f t="shared" si="6"/>
        <v>-50464.6</v>
      </c>
      <c r="T32" s="2">
        <f t="shared" si="1"/>
        <v>8995.3000000000011</v>
      </c>
      <c r="U32" s="2">
        <f t="shared" si="2"/>
        <v>24784.199999999997</v>
      </c>
    </row>
    <row r="33" spans="1:21" x14ac:dyDescent="0.2">
      <c r="A33" t="s">
        <v>37</v>
      </c>
      <c r="B33">
        <v>6</v>
      </c>
      <c r="C33">
        <v>2</v>
      </c>
      <c r="D33">
        <v>-50.464599999999997</v>
      </c>
      <c r="E33">
        <v>-10.7438</v>
      </c>
      <c r="F33">
        <v>25.123999999999999</v>
      </c>
      <c r="H33" s="2">
        <f t="shared" si="3"/>
        <v>-50464.6</v>
      </c>
      <c r="I33" s="2">
        <f t="shared" si="4"/>
        <v>-10743.800000000001</v>
      </c>
      <c r="J33" s="2">
        <f t="shared" si="5"/>
        <v>25124</v>
      </c>
      <c r="L33" t="s">
        <v>159</v>
      </c>
      <c r="M33">
        <v>6</v>
      </c>
      <c r="N33">
        <v>2</v>
      </c>
      <c r="O33">
        <v>-50.464599999999997</v>
      </c>
      <c r="P33">
        <v>10.7438</v>
      </c>
      <c r="Q33">
        <v>25.123999999999999</v>
      </c>
      <c r="S33" s="2">
        <f t="shared" si="6"/>
        <v>-50464.6</v>
      </c>
      <c r="T33" s="2">
        <f t="shared" si="1"/>
        <v>10743.800000000001</v>
      </c>
      <c r="U33" s="2">
        <f t="shared" si="2"/>
        <v>25124</v>
      </c>
    </row>
    <row r="34" spans="1:21" x14ac:dyDescent="0.2">
      <c r="A34" t="s">
        <v>38</v>
      </c>
      <c r="B34">
        <v>6</v>
      </c>
      <c r="C34">
        <v>3</v>
      </c>
      <c r="D34">
        <v>-50</v>
      </c>
      <c r="E34">
        <v>-8.9021000000000008</v>
      </c>
      <c r="F34">
        <v>23.380199999999999</v>
      </c>
      <c r="H34" s="2">
        <f t="shared" si="3"/>
        <v>-50000</v>
      </c>
      <c r="I34" s="2">
        <f t="shared" si="4"/>
        <v>-8902.1</v>
      </c>
      <c r="J34" s="2">
        <f t="shared" si="5"/>
        <v>23380.199999999997</v>
      </c>
      <c r="L34" t="s">
        <v>160</v>
      </c>
      <c r="M34">
        <v>6</v>
      </c>
      <c r="N34">
        <v>3</v>
      </c>
      <c r="O34">
        <v>-50</v>
      </c>
      <c r="P34">
        <v>8.9021000000000008</v>
      </c>
      <c r="Q34">
        <v>23.380199999999999</v>
      </c>
      <c r="S34" s="2">
        <f t="shared" si="6"/>
        <v>-50000</v>
      </c>
      <c r="T34" s="2">
        <f t="shared" si="1"/>
        <v>8902.1</v>
      </c>
      <c r="U34" s="2">
        <f t="shared" si="2"/>
        <v>23380.199999999997</v>
      </c>
    </row>
    <row r="35" spans="1:21" x14ac:dyDescent="0.2">
      <c r="A35" t="s">
        <v>39</v>
      </c>
      <c r="B35">
        <v>6</v>
      </c>
      <c r="C35">
        <v>4</v>
      </c>
      <c r="D35">
        <v>-50</v>
      </c>
      <c r="E35">
        <v>-11.356199999999999</v>
      </c>
      <c r="F35">
        <v>23.857299999999999</v>
      </c>
      <c r="H35" s="2">
        <f t="shared" si="3"/>
        <v>-50000</v>
      </c>
      <c r="I35" s="2">
        <f t="shared" si="4"/>
        <v>-11356.199999999999</v>
      </c>
      <c r="J35" s="2">
        <f t="shared" si="5"/>
        <v>23857.3</v>
      </c>
      <c r="L35" t="s">
        <v>161</v>
      </c>
      <c r="M35">
        <v>6</v>
      </c>
      <c r="N35">
        <v>4</v>
      </c>
      <c r="O35">
        <v>-50</v>
      </c>
      <c r="P35">
        <v>11.356199999999999</v>
      </c>
      <c r="Q35">
        <v>23.857299999999999</v>
      </c>
      <c r="S35" s="2">
        <f t="shared" si="6"/>
        <v>-50000</v>
      </c>
      <c r="T35" s="2">
        <f t="shared" si="1"/>
        <v>11356.199999999999</v>
      </c>
      <c r="U35" s="2">
        <f t="shared" si="2"/>
        <v>23857.3</v>
      </c>
    </row>
    <row r="36" spans="1:21" x14ac:dyDescent="0.2">
      <c r="A36" t="s">
        <v>40</v>
      </c>
      <c r="B36">
        <v>6</v>
      </c>
      <c r="C36">
        <v>5</v>
      </c>
      <c r="D36">
        <v>-49.535400000000003</v>
      </c>
      <c r="E36">
        <v>-9.5145</v>
      </c>
      <c r="F36">
        <v>22.113499999999998</v>
      </c>
      <c r="H36" s="2">
        <f t="shared" si="3"/>
        <v>-49535.4</v>
      </c>
      <c r="I36" s="2">
        <f t="shared" si="4"/>
        <v>-9514.5</v>
      </c>
      <c r="J36" s="2">
        <f t="shared" si="5"/>
        <v>22113.5</v>
      </c>
      <c r="L36" t="s">
        <v>162</v>
      </c>
      <c r="M36">
        <v>6</v>
      </c>
      <c r="N36">
        <v>5</v>
      </c>
      <c r="O36">
        <v>-49.535400000000003</v>
      </c>
      <c r="P36">
        <v>9.5145</v>
      </c>
      <c r="Q36">
        <v>22.113499999999998</v>
      </c>
      <c r="S36" s="2">
        <f t="shared" si="6"/>
        <v>-49535.4</v>
      </c>
      <c r="T36" s="2">
        <f t="shared" si="1"/>
        <v>9514.5</v>
      </c>
      <c r="U36" s="2">
        <f t="shared" si="2"/>
        <v>22113.5</v>
      </c>
    </row>
    <row r="37" spans="1:21" x14ac:dyDescent="0.2">
      <c r="A37" t="s">
        <v>41</v>
      </c>
      <c r="B37">
        <v>6</v>
      </c>
      <c r="C37">
        <v>6</v>
      </c>
      <c r="D37">
        <v>-49.535400000000003</v>
      </c>
      <c r="E37">
        <v>-11.263</v>
      </c>
      <c r="F37">
        <v>22.453299999999999</v>
      </c>
      <c r="H37" s="2">
        <f t="shared" si="3"/>
        <v>-49535.4</v>
      </c>
      <c r="I37" s="2">
        <f t="shared" si="4"/>
        <v>-11263</v>
      </c>
      <c r="J37" s="2">
        <f t="shared" si="5"/>
        <v>22453.3</v>
      </c>
      <c r="L37" t="s">
        <v>163</v>
      </c>
      <c r="M37">
        <v>6</v>
      </c>
      <c r="N37">
        <v>6</v>
      </c>
      <c r="O37">
        <v>-49.535400000000003</v>
      </c>
      <c r="P37">
        <v>11.263</v>
      </c>
      <c r="Q37">
        <v>22.453299999999999</v>
      </c>
      <c r="S37" s="2">
        <f t="shared" si="6"/>
        <v>-49535.4</v>
      </c>
      <c r="T37" s="2">
        <f t="shared" si="1"/>
        <v>11263</v>
      </c>
      <c r="U37" s="2">
        <f t="shared" si="2"/>
        <v>22453.3</v>
      </c>
    </row>
    <row r="38" spans="1:21" x14ac:dyDescent="0.2">
      <c r="A38" t="s">
        <v>42</v>
      </c>
      <c r="B38">
        <v>7</v>
      </c>
      <c r="C38">
        <v>1</v>
      </c>
      <c r="D38">
        <v>-40.355800000000002</v>
      </c>
      <c r="E38">
        <v>-8.3984000000000005</v>
      </c>
      <c r="F38">
        <v>27.740200000000002</v>
      </c>
      <c r="H38" s="2">
        <f t="shared" si="3"/>
        <v>-40355.800000000003</v>
      </c>
      <c r="I38" s="2">
        <f t="shared" si="4"/>
        <v>-8398.4</v>
      </c>
      <c r="J38" s="2">
        <f t="shared" si="5"/>
        <v>27740.2</v>
      </c>
      <c r="L38" t="s">
        <v>164</v>
      </c>
      <c r="M38">
        <v>7</v>
      </c>
      <c r="N38">
        <v>1</v>
      </c>
      <c r="O38">
        <v>-40.355800000000002</v>
      </c>
      <c r="P38">
        <v>8.3984000000000005</v>
      </c>
      <c r="Q38">
        <v>27.740200000000002</v>
      </c>
      <c r="S38" s="2">
        <f t="shared" si="6"/>
        <v>-40355.800000000003</v>
      </c>
      <c r="T38" s="2">
        <f t="shared" si="1"/>
        <v>8398.4</v>
      </c>
      <c r="U38" s="2">
        <f t="shared" si="2"/>
        <v>27740.2</v>
      </c>
    </row>
    <row r="39" spans="1:21" x14ac:dyDescent="0.2">
      <c r="A39" t="s">
        <v>43</v>
      </c>
      <c r="B39">
        <v>7</v>
      </c>
      <c r="C39">
        <v>2</v>
      </c>
      <c r="D39">
        <v>-40.355800000000002</v>
      </c>
      <c r="E39">
        <v>-10.1899</v>
      </c>
      <c r="F39">
        <v>28.0885</v>
      </c>
      <c r="H39" s="2">
        <f t="shared" si="3"/>
        <v>-40355.800000000003</v>
      </c>
      <c r="I39" s="2">
        <f t="shared" si="4"/>
        <v>-10189.9</v>
      </c>
      <c r="J39" s="2">
        <f t="shared" si="5"/>
        <v>28088.5</v>
      </c>
      <c r="L39" t="s">
        <v>165</v>
      </c>
      <c r="M39">
        <v>7</v>
      </c>
      <c r="N39">
        <v>2</v>
      </c>
      <c r="O39">
        <v>-40.355800000000002</v>
      </c>
      <c r="P39">
        <v>10.1899</v>
      </c>
      <c r="Q39">
        <v>28.0885</v>
      </c>
      <c r="S39" s="2">
        <f t="shared" si="6"/>
        <v>-40355.800000000003</v>
      </c>
      <c r="T39" s="2">
        <f t="shared" si="1"/>
        <v>10189.9</v>
      </c>
      <c r="U39" s="2">
        <f t="shared" si="2"/>
        <v>28088.5</v>
      </c>
    </row>
    <row r="40" spans="1:21" x14ac:dyDescent="0.2">
      <c r="A40" t="s">
        <v>44</v>
      </c>
      <c r="B40">
        <v>7</v>
      </c>
      <c r="C40">
        <v>3</v>
      </c>
      <c r="D40">
        <v>-40</v>
      </c>
      <c r="E40">
        <v>-8.3155999999999999</v>
      </c>
      <c r="F40">
        <v>26.397500000000001</v>
      </c>
      <c r="H40" s="2">
        <f t="shared" si="3"/>
        <v>-40000</v>
      </c>
      <c r="I40" s="2">
        <f t="shared" si="4"/>
        <v>-8315.6</v>
      </c>
      <c r="J40" s="2">
        <f t="shared" si="5"/>
        <v>26397.5</v>
      </c>
      <c r="L40" t="s">
        <v>166</v>
      </c>
      <c r="M40">
        <v>7</v>
      </c>
      <c r="N40">
        <v>3</v>
      </c>
      <c r="O40">
        <v>-40</v>
      </c>
      <c r="P40">
        <v>8.3155999999999999</v>
      </c>
      <c r="Q40">
        <v>26.397500000000001</v>
      </c>
      <c r="S40" s="2">
        <f t="shared" si="6"/>
        <v>-40000</v>
      </c>
      <c r="T40" s="2">
        <f t="shared" si="1"/>
        <v>8315.6</v>
      </c>
      <c r="U40" s="2">
        <f t="shared" si="2"/>
        <v>26397.5</v>
      </c>
    </row>
    <row r="41" spans="1:21" x14ac:dyDescent="0.2">
      <c r="A41" t="s">
        <v>45</v>
      </c>
      <c r="B41">
        <v>7</v>
      </c>
      <c r="C41">
        <v>4</v>
      </c>
      <c r="D41">
        <v>-40</v>
      </c>
      <c r="E41">
        <v>-10.7697</v>
      </c>
      <c r="F41">
        <v>26.874500000000001</v>
      </c>
      <c r="H41" s="2">
        <f t="shared" si="3"/>
        <v>-40000</v>
      </c>
      <c r="I41" s="2">
        <f t="shared" si="4"/>
        <v>-10769.7</v>
      </c>
      <c r="J41" s="2">
        <f t="shared" si="5"/>
        <v>26874.5</v>
      </c>
      <c r="L41" t="s">
        <v>167</v>
      </c>
      <c r="M41">
        <v>7</v>
      </c>
      <c r="N41">
        <v>4</v>
      </c>
      <c r="O41">
        <v>-40</v>
      </c>
      <c r="P41">
        <v>10.7697</v>
      </c>
      <c r="Q41">
        <v>26.874500000000001</v>
      </c>
      <c r="S41" s="2">
        <f t="shared" si="6"/>
        <v>-40000</v>
      </c>
      <c r="T41" s="2">
        <f t="shared" si="1"/>
        <v>10769.7</v>
      </c>
      <c r="U41" s="2">
        <f t="shared" si="2"/>
        <v>26874.5</v>
      </c>
    </row>
    <row r="42" spans="1:21" x14ac:dyDescent="0.2">
      <c r="A42" t="s">
        <v>46</v>
      </c>
      <c r="B42">
        <v>7</v>
      </c>
      <c r="C42">
        <v>5</v>
      </c>
      <c r="D42">
        <v>-39.644199999999998</v>
      </c>
      <c r="E42">
        <v>-8.8954000000000004</v>
      </c>
      <c r="F42">
        <v>25.183499999999999</v>
      </c>
      <c r="H42" s="2">
        <f t="shared" si="3"/>
        <v>-39644.199999999997</v>
      </c>
      <c r="I42" s="2">
        <f t="shared" si="4"/>
        <v>-8895.4</v>
      </c>
      <c r="J42" s="2">
        <f t="shared" si="5"/>
        <v>25183.5</v>
      </c>
      <c r="L42" t="s">
        <v>168</v>
      </c>
      <c r="M42">
        <v>7</v>
      </c>
      <c r="N42">
        <v>5</v>
      </c>
      <c r="O42">
        <v>-39.644199999999998</v>
      </c>
      <c r="P42">
        <v>8.8954000000000004</v>
      </c>
      <c r="Q42">
        <v>25.183499999999999</v>
      </c>
      <c r="S42" s="2">
        <f t="shared" si="6"/>
        <v>-39644.199999999997</v>
      </c>
      <c r="T42" s="2">
        <f t="shared" si="1"/>
        <v>8895.4</v>
      </c>
      <c r="U42" s="2">
        <f t="shared" si="2"/>
        <v>25183.5</v>
      </c>
    </row>
    <row r="43" spans="1:21" x14ac:dyDescent="0.2">
      <c r="A43" t="s">
        <v>47</v>
      </c>
      <c r="B43">
        <v>7</v>
      </c>
      <c r="C43">
        <v>6</v>
      </c>
      <c r="D43">
        <v>-39.644199999999998</v>
      </c>
      <c r="E43">
        <v>-10.6869</v>
      </c>
      <c r="F43">
        <v>25.5318</v>
      </c>
      <c r="H43" s="2">
        <f t="shared" si="3"/>
        <v>-39644.199999999997</v>
      </c>
      <c r="I43" s="2">
        <f t="shared" si="4"/>
        <v>-10686.9</v>
      </c>
      <c r="J43" s="2">
        <f t="shared" si="5"/>
        <v>25531.8</v>
      </c>
      <c r="L43" t="s">
        <v>169</v>
      </c>
      <c r="M43">
        <v>7</v>
      </c>
      <c r="N43">
        <v>6</v>
      </c>
      <c r="O43">
        <v>-39.644199999999998</v>
      </c>
      <c r="P43">
        <v>10.6869</v>
      </c>
      <c r="Q43">
        <v>25.5318</v>
      </c>
      <c r="S43" s="2">
        <f t="shared" si="6"/>
        <v>-39644.199999999997</v>
      </c>
      <c r="T43" s="2">
        <f t="shared" si="1"/>
        <v>10686.9</v>
      </c>
      <c r="U43" s="2">
        <f t="shared" si="2"/>
        <v>25531.8</v>
      </c>
    </row>
    <row r="44" spans="1:21" x14ac:dyDescent="0.2">
      <c r="A44" t="s">
        <v>48</v>
      </c>
      <c r="B44">
        <v>8</v>
      </c>
      <c r="C44">
        <v>1</v>
      </c>
      <c r="D44">
        <v>-28.738700000000001</v>
      </c>
      <c r="E44">
        <v>-7.8749000000000002</v>
      </c>
      <c r="F44">
        <v>30.3018</v>
      </c>
      <c r="H44" s="2">
        <f t="shared" si="3"/>
        <v>-28738.7</v>
      </c>
      <c r="I44" s="2">
        <f t="shared" si="4"/>
        <v>-7874.9000000000005</v>
      </c>
      <c r="J44" s="2">
        <f t="shared" si="5"/>
        <v>30301.8</v>
      </c>
      <c r="L44" t="s">
        <v>170</v>
      </c>
      <c r="M44">
        <v>8</v>
      </c>
      <c r="N44">
        <v>1</v>
      </c>
      <c r="O44">
        <v>-28.738700000000001</v>
      </c>
      <c r="P44">
        <v>7.8749000000000002</v>
      </c>
      <c r="Q44">
        <v>30.3018</v>
      </c>
      <c r="S44" s="2">
        <f t="shared" si="6"/>
        <v>-28738.7</v>
      </c>
      <c r="T44" s="2">
        <f t="shared" si="1"/>
        <v>7874.9000000000005</v>
      </c>
      <c r="U44" s="2">
        <f t="shared" si="2"/>
        <v>30301.8</v>
      </c>
    </row>
    <row r="45" spans="1:21" x14ac:dyDescent="0.2">
      <c r="A45" t="s">
        <v>49</v>
      </c>
      <c r="B45">
        <v>8</v>
      </c>
      <c r="C45">
        <v>2</v>
      </c>
      <c r="D45">
        <v>-28.738700000000001</v>
      </c>
      <c r="E45">
        <v>-9.7157</v>
      </c>
      <c r="F45">
        <v>30.659700000000001</v>
      </c>
      <c r="H45" s="2">
        <f t="shared" si="3"/>
        <v>-28738.7</v>
      </c>
      <c r="I45" s="2">
        <f t="shared" si="4"/>
        <v>-9715.7000000000007</v>
      </c>
      <c r="J45" s="2">
        <f t="shared" si="5"/>
        <v>30659.7</v>
      </c>
      <c r="L45" t="s">
        <v>171</v>
      </c>
      <c r="M45">
        <v>8</v>
      </c>
      <c r="N45">
        <v>2</v>
      </c>
      <c r="O45">
        <v>-28.738700000000001</v>
      </c>
      <c r="P45">
        <v>9.7157</v>
      </c>
      <c r="Q45">
        <v>30.659700000000001</v>
      </c>
      <c r="S45" s="2">
        <f t="shared" si="6"/>
        <v>-28738.7</v>
      </c>
      <c r="T45" s="2">
        <f t="shared" si="1"/>
        <v>9715.7000000000007</v>
      </c>
      <c r="U45" s="2">
        <f t="shared" si="2"/>
        <v>30659.7</v>
      </c>
    </row>
    <row r="46" spans="1:21" x14ac:dyDescent="0.2">
      <c r="A46" t="s">
        <v>50</v>
      </c>
      <c r="B46">
        <v>8</v>
      </c>
      <c r="C46">
        <v>3</v>
      </c>
      <c r="D46">
        <v>-28.5</v>
      </c>
      <c r="E46">
        <v>-7.8022999999999998</v>
      </c>
      <c r="F46">
        <v>29.038399999999999</v>
      </c>
      <c r="H46" s="2">
        <f t="shared" si="3"/>
        <v>-28500</v>
      </c>
      <c r="I46" s="2">
        <f t="shared" si="4"/>
        <v>-7802.3</v>
      </c>
      <c r="J46" s="2">
        <f t="shared" si="5"/>
        <v>29038.399999999998</v>
      </c>
      <c r="L46" t="s">
        <v>172</v>
      </c>
      <c r="M46">
        <v>8</v>
      </c>
      <c r="N46">
        <v>3</v>
      </c>
      <c r="O46">
        <v>-28.5</v>
      </c>
      <c r="P46">
        <v>7.8022999999999998</v>
      </c>
      <c r="Q46">
        <v>29.038399999999999</v>
      </c>
      <c r="S46" s="2">
        <f t="shared" si="6"/>
        <v>-28500</v>
      </c>
      <c r="T46" s="2">
        <f t="shared" si="1"/>
        <v>7802.3</v>
      </c>
      <c r="U46" s="2">
        <f t="shared" si="2"/>
        <v>29038.399999999998</v>
      </c>
    </row>
    <row r="47" spans="1:21" x14ac:dyDescent="0.2">
      <c r="A47" t="s">
        <v>51</v>
      </c>
      <c r="B47">
        <v>8</v>
      </c>
      <c r="C47">
        <v>4</v>
      </c>
      <c r="D47">
        <v>-28.5</v>
      </c>
      <c r="E47">
        <v>-10.2563</v>
      </c>
      <c r="F47">
        <v>29.5154</v>
      </c>
      <c r="H47" s="2">
        <f t="shared" si="3"/>
        <v>-28500</v>
      </c>
      <c r="I47" s="2">
        <f t="shared" si="4"/>
        <v>-10256.299999999999</v>
      </c>
      <c r="J47" s="2">
        <f t="shared" si="5"/>
        <v>29515.4</v>
      </c>
      <c r="L47" t="s">
        <v>173</v>
      </c>
      <c r="M47">
        <v>8</v>
      </c>
      <c r="N47">
        <v>4</v>
      </c>
      <c r="O47">
        <v>-28.5</v>
      </c>
      <c r="P47">
        <v>10.2563</v>
      </c>
      <c r="Q47">
        <v>29.5154</v>
      </c>
      <c r="S47" s="2">
        <f t="shared" si="6"/>
        <v>-28500</v>
      </c>
      <c r="T47" s="2">
        <f t="shared" si="1"/>
        <v>10256.299999999999</v>
      </c>
      <c r="U47" s="2">
        <f t="shared" si="2"/>
        <v>29515.4</v>
      </c>
    </row>
    <row r="48" spans="1:21" x14ac:dyDescent="0.2">
      <c r="A48" t="s">
        <v>52</v>
      </c>
      <c r="B48">
        <v>8</v>
      </c>
      <c r="C48">
        <v>5</v>
      </c>
      <c r="D48">
        <v>-28.261299999999999</v>
      </c>
      <c r="E48">
        <v>-8.3429000000000002</v>
      </c>
      <c r="F48">
        <v>27.894200000000001</v>
      </c>
      <c r="H48" s="2">
        <f t="shared" si="3"/>
        <v>-28261.3</v>
      </c>
      <c r="I48" s="2">
        <f t="shared" si="4"/>
        <v>-8342.9</v>
      </c>
      <c r="J48" s="2">
        <f t="shared" si="5"/>
        <v>27894.2</v>
      </c>
      <c r="L48" t="s">
        <v>174</v>
      </c>
      <c r="M48">
        <v>8</v>
      </c>
      <c r="N48">
        <v>5</v>
      </c>
      <c r="O48">
        <v>-28.261299999999999</v>
      </c>
      <c r="P48">
        <v>8.3429000000000002</v>
      </c>
      <c r="Q48">
        <v>27.894200000000001</v>
      </c>
      <c r="S48" s="2">
        <f t="shared" si="6"/>
        <v>-28261.3</v>
      </c>
      <c r="T48" s="2">
        <f t="shared" si="1"/>
        <v>8342.9</v>
      </c>
      <c r="U48" s="2">
        <f t="shared" si="2"/>
        <v>27894.2</v>
      </c>
    </row>
    <row r="49" spans="1:21" x14ac:dyDescent="0.2">
      <c r="A49" t="s">
        <v>53</v>
      </c>
      <c r="B49">
        <v>8</v>
      </c>
      <c r="C49">
        <v>6</v>
      </c>
      <c r="D49">
        <v>-28.261299999999999</v>
      </c>
      <c r="E49">
        <v>-10.1837</v>
      </c>
      <c r="F49">
        <v>28.251999999999999</v>
      </c>
      <c r="H49" s="2">
        <f t="shared" si="3"/>
        <v>-28261.3</v>
      </c>
      <c r="I49" s="2">
        <f t="shared" si="4"/>
        <v>-10183.700000000001</v>
      </c>
      <c r="J49" s="2">
        <f t="shared" si="5"/>
        <v>28252</v>
      </c>
      <c r="L49" t="s">
        <v>175</v>
      </c>
      <c r="M49">
        <v>8</v>
      </c>
      <c r="N49">
        <v>6</v>
      </c>
      <c r="O49">
        <v>-28.261299999999999</v>
      </c>
      <c r="P49">
        <v>10.1837</v>
      </c>
      <c r="Q49">
        <v>28.251999999999999</v>
      </c>
      <c r="S49" s="2">
        <f t="shared" si="6"/>
        <v>-28261.3</v>
      </c>
      <c r="T49" s="2">
        <f t="shared" si="1"/>
        <v>10183.700000000001</v>
      </c>
      <c r="U49" s="2">
        <f t="shared" si="2"/>
        <v>28252</v>
      </c>
    </row>
    <row r="50" spans="1:21" x14ac:dyDescent="0.2">
      <c r="A50" t="s">
        <v>54</v>
      </c>
      <c r="B50">
        <v>9</v>
      </c>
      <c r="C50">
        <v>1</v>
      </c>
      <c r="D50">
        <v>-16.123899999999999</v>
      </c>
      <c r="E50">
        <v>-7.5033000000000003</v>
      </c>
      <c r="F50">
        <v>32.070099999999996</v>
      </c>
      <c r="H50" s="2">
        <f t="shared" si="3"/>
        <v>-16123.9</v>
      </c>
      <c r="I50" s="2">
        <f t="shared" si="4"/>
        <v>-7503.3</v>
      </c>
      <c r="J50" s="2">
        <f t="shared" si="5"/>
        <v>32070.099999999995</v>
      </c>
      <c r="L50" t="s">
        <v>176</v>
      </c>
      <c r="M50">
        <v>9</v>
      </c>
      <c r="N50">
        <v>1</v>
      </c>
      <c r="O50">
        <v>-16.123899999999999</v>
      </c>
      <c r="P50">
        <v>7.5033000000000003</v>
      </c>
      <c r="Q50">
        <v>32.070099999999996</v>
      </c>
      <c r="S50" s="2">
        <f t="shared" si="6"/>
        <v>-16123.9</v>
      </c>
      <c r="T50" s="2">
        <f t="shared" si="1"/>
        <v>7503.3</v>
      </c>
      <c r="U50" s="2">
        <f t="shared" si="2"/>
        <v>32070.099999999995</v>
      </c>
    </row>
    <row r="51" spans="1:21" x14ac:dyDescent="0.2">
      <c r="A51" t="s">
        <v>55</v>
      </c>
      <c r="B51">
        <v>9</v>
      </c>
      <c r="C51">
        <v>2</v>
      </c>
      <c r="D51">
        <v>-16.123899999999999</v>
      </c>
      <c r="E51">
        <v>-9.3978999999999999</v>
      </c>
      <c r="F51">
        <v>32.438299999999998</v>
      </c>
      <c r="H51" s="2">
        <f t="shared" si="3"/>
        <v>-16123.9</v>
      </c>
      <c r="I51" s="2">
        <f t="shared" si="4"/>
        <v>-9397.9</v>
      </c>
      <c r="J51" s="2">
        <f t="shared" si="5"/>
        <v>32438.3</v>
      </c>
      <c r="L51" t="s">
        <v>177</v>
      </c>
      <c r="M51">
        <v>9</v>
      </c>
      <c r="N51">
        <v>2</v>
      </c>
      <c r="O51">
        <v>-16.123899999999999</v>
      </c>
      <c r="P51">
        <v>9.3978999999999999</v>
      </c>
      <c r="Q51">
        <v>32.438299999999998</v>
      </c>
      <c r="S51" s="2">
        <f t="shared" si="6"/>
        <v>-16123.9</v>
      </c>
      <c r="T51" s="2">
        <f t="shared" si="1"/>
        <v>9397.9</v>
      </c>
      <c r="U51" s="2">
        <f t="shared" si="2"/>
        <v>32438.3</v>
      </c>
    </row>
    <row r="52" spans="1:21" x14ac:dyDescent="0.2">
      <c r="A52" t="s">
        <v>56</v>
      </c>
      <c r="B52">
        <v>9</v>
      </c>
      <c r="C52">
        <v>3</v>
      </c>
      <c r="D52">
        <v>-16</v>
      </c>
      <c r="E52">
        <v>-7.4398</v>
      </c>
      <c r="F52">
        <v>30.903199999999998</v>
      </c>
      <c r="H52" s="2">
        <f t="shared" si="3"/>
        <v>-16000</v>
      </c>
      <c r="I52" s="2">
        <f t="shared" si="4"/>
        <v>-7439.8</v>
      </c>
      <c r="J52" s="2">
        <f t="shared" si="5"/>
        <v>30903.199999999997</v>
      </c>
      <c r="L52" t="s">
        <v>178</v>
      </c>
      <c r="M52">
        <v>9</v>
      </c>
      <c r="N52">
        <v>3</v>
      </c>
      <c r="O52">
        <v>-16</v>
      </c>
      <c r="P52">
        <v>7.4398</v>
      </c>
      <c r="Q52">
        <v>30.903199999999998</v>
      </c>
      <c r="S52" s="2">
        <f t="shared" si="6"/>
        <v>-16000</v>
      </c>
      <c r="T52" s="2">
        <f t="shared" si="1"/>
        <v>7439.8</v>
      </c>
      <c r="U52" s="2">
        <f t="shared" si="2"/>
        <v>30903.199999999997</v>
      </c>
    </row>
    <row r="53" spans="1:21" x14ac:dyDescent="0.2">
      <c r="A53" t="s">
        <v>57</v>
      </c>
      <c r="B53">
        <v>9</v>
      </c>
      <c r="C53">
        <v>4</v>
      </c>
      <c r="D53">
        <v>-16</v>
      </c>
      <c r="E53">
        <v>-9.8939000000000004</v>
      </c>
      <c r="F53">
        <v>31.380299999999998</v>
      </c>
      <c r="H53" s="2">
        <f t="shared" si="3"/>
        <v>-16000</v>
      </c>
      <c r="I53" s="2">
        <f t="shared" si="4"/>
        <v>-9893.9</v>
      </c>
      <c r="J53" s="2">
        <f t="shared" si="5"/>
        <v>31380.3</v>
      </c>
      <c r="L53" t="s">
        <v>179</v>
      </c>
      <c r="M53">
        <v>9</v>
      </c>
      <c r="N53">
        <v>4</v>
      </c>
      <c r="O53">
        <v>-16</v>
      </c>
      <c r="P53">
        <v>9.8939000000000004</v>
      </c>
      <c r="Q53">
        <v>31.380299999999998</v>
      </c>
      <c r="S53" s="2">
        <f t="shared" si="6"/>
        <v>-16000</v>
      </c>
      <c r="T53" s="2">
        <f t="shared" si="1"/>
        <v>9893.9</v>
      </c>
      <c r="U53" s="2">
        <f t="shared" si="2"/>
        <v>31380.3</v>
      </c>
    </row>
    <row r="54" spans="1:21" x14ac:dyDescent="0.2">
      <c r="A54" t="s">
        <v>58</v>
      </c>
      <c r="B54">
        <v>9</v>
      </c>
      <c r="C54">
        <v>5</v>
      </c>
      <c r="D54">
        <v>-15.876099999999999</v>
      </c>
      <c r="E54">
        <v>-7.9358000000000004</v>
      </c>
      <c r="F54">
        <v>29.845199999999998</v>
      </c>
      <c r="H54" s="2">
        <f t="shared" si="3"/>
        <v>-15876.099999999999</v>
      </c>
      <c r="I54" s="2">
        <f t="shared" si="4"/>
        <v>-7935.8</v>
      </c>
      <c r="J54" s="2">
        <f t="shared" si="5"/>
        <v>29845.199999999997</v>
      </c>
      <c r="L54" t="s">
        <v>180</v>
      </c>
      <c r="M54">
        <v>9</v>
      </c>
      <c r="N54">
        <v>5</v>
      </c>
      <c r="O54">
        <v>-15.876099999999999</v>
      </c>
      <c r="P54">
        <v>7.9358000000000004</v>
      </c>
      <c r="Q54">
        <v>29.845199999999998</v>
      </c>
      <c r="S54" s="2">
        <f t="shared" si="6"/>
        <v>-15876.099999999999</v>
      </c>
      <c r="T54" s="2">
        <f t="shared" si="1"/>
        <v>7935.8</v>
      </c>
      <c r="U54" s="2">
        <f t="shared" si="2"/>
        <v>29845.199999999997</v>
      </c>
    </row>
    <row r="55" spans="1:21" x14ac:dyDescent="0.2">
      <c r="A55" t="s">
        <v>59</v>
      </c>
      <c r="B55">
        <v>9</v>
      </c>
      <c r="C55">
        <v>6</v>
      </c>
      <c r="D55">
        <v>-15.876099999999999</v>
      </c>
      <c r="E55">
        <v>-9.8302999999999994</v>
      </c>
      <c r="F55">
        <v>30.2135</v>
      </c>
      <c r="H55" s="2">
        <f t="shared" si="3"/>
        <v>-15876.099999999999</v>
      </c>
      <c r="I55" s="2">
        <f t="shared" si="4"/>
        <v>-9830.2999999999993</v>
      </c>
      <c r="J55" s="2">
        <f t="shared" si="5"/>
        <v>30213.5</v>
      </c>
      <c r="L55" t="s">
        <v>181</v>
      </c>
      <c r="M55">
        <v>9</v>
      </c>
      <c r="N55">
        <v>6</v>
      </c>
      <c r="O55">
        <v>-15.876099999999999</v>
      </c>
      <c r="P55">
        <v>9.8302999999999994</v>
      </c>
      <c r="Q55">
        <v>30.2135</v>
      </c>
      <c r="S55" s="2">
        <f t="shared" si="6"/>
        <v>-15876.099999999999</v>
      </c>
      <c r="T55" s="2">
        <f t="shared" si="1"/>
        <v>9830.2999999999993</v>
      </c>
      <c r="U55" s="2">
        <f t="shared" si="2"/>
        <v>30213.5</v>
      </c>
    </row>
    <row r="56" spans="1:21" x14ac:dyDescent="0.2">
      <c r="A56" t="s">
        <v>60</v>
      </c>
      <c r="B56">
        <v>10</v>
      </c>
      <c r="C56">
        <v>1</v>
      </c>
      <c r="D56">
        <v>-5.0355999999999996</v>
      </c>
      <c r="E56">
        <v>-7.3464</v>
      </c>
      <c r="F56">
        <v>32.751399999999997</v>
      </c>
      <c r="H56" s="2">
        <f t="shared" si="3"/>
        <v>-5035.5999999999995</v>
      </c>
      <c r="I56" s="2">
        <f t="shared" si="4"/>
        <v>-7346.4</v>
      </c>
      <c r="J56" s="2">
        <f t="shared" si="5"/>
        <v>32751.399999999998</v>
      </c>
      <c r="L56" t="s">
        <v>182</v>
      </c>
      <c r="M56">
        <v>10</v>
      </c>
      <c r="N56">
        <v>1</v>
      </c>
      <c r="O56">
        <v>-5.0355999999999996</v>
      </c>
      <c r="P56">
        <v>7.3464</v>
      </c>
      <c r="Q56">
        <v>32.751399999999997</v>
      </c>
      <c r="S56" s="2">
        <f t="shared" si="6"/>
        <v>-5035.5999999999995</v>
      </c>
      <c r="T56" s="2">
        <f t="shared" si="1"/>
        <v>7346.4</v>
      </c>
      <c r="U56" s="2">
        <f t="shared" si="2"/>
        <v>32751.399999999998</v>
      </c>
    </row>
    <row r="57" spans="1:21" x14ac:dyDescent="0.2">
      <c r="A57" t="s">
        <v>61</v>
      </c>
      <c r="B57">
        <v>10</v>
      </c>
      <c r="C57">
        <v>2</v>
      </c>
      <c r="D57">
        <v>-5.0355999999999996</v>
      </c>
      <c r="E57">
        <v>-9.2881</v>
      </c>
      <c r="F57">
        <v>33.128900000000002</v>
      </c>
      <c r="H57" s="2">
        <f t="shared" si="3"/>
        <v>-5035.5999999999995</v>
      </c>
      <c r="I57" s="2">
        <f t="shared" si="4"/>
        <v>-9288.1</v>
      </c>
      <c r="J57" s="2">
        <f t="shared" si="5"/>
        <v>33128.9</v>
      </c>
      <c r="L57" t="s">
        <v>183</v>
      </c>
      <c r="M57">
        <v>10</v>
      </c>
      <c r="N57">
        <v>2</v>
      </c>
      <c r="O57">
        <v>-5.0355999999999996</v>
      </c>
      <c r="P57">
        <v>9.2881</v>
      </c>
      <c r="Q57">
        <v>33.128900000000002</v>
      </c>
      <c r="S57" s="2">
        <f t="shared" si="6"/>
        <v>-5035.5999999999995</v>
      </c>
      <c r="T57" s="2">
        <f t="shared" si="1"/>
        <v>9288.1</v>
      </c>
      <c r="U57" s="2">
        <f t="shared" si="2"/>
        <v>33128.9</v>
      </c>
    </row>
    <row r="58" spans="1:21" x14ac:dyDescent="0.2">
      <c r="A58" t="s">
        <v>62</v>
      </c>
      <c r="B58">
        <v>10</v>
      </c>
      <c r="C58">
        <v>3</v>
      </c>
      <c r="D58">
        <v>-5</v>
      </c>
      <c r="E58">
        <v>-7.2892999999999999</v>
      </c>
      <c r="F58">
        <v>31.677700000000002</v>
      </c>
      <c r="H58" s="2">
        <f t="shared" si="3"/>
        <v>-5000</v>
      </c>
      <c r="I58" s="2">
        <f t="shared" si="4"/>
        <v>-7289.3</v>
      </c>
      <c r="J58" s="2">
        <f t="shared" si="5"/>
        <v>31677.7</v>
      </c>
      <c r="L58" t="s">
        <v>184</v>
      </c>
      <c r="M58">
        <v>10</v>
      </c>
      <c r="N58">
        <v>3</v>
      </c>
      <c r="O58">
        <v>-5</v>
      </c>
      <c r="P58">
        <v>7.2892999999999999</v>
      </c>
      <c r="Q58">
        <v>31.677700000000002</v>
      </c>
      <c r="S58" s="2">
        <f t="shared" si="6"/>
        <v>-5000</v>
      </c>
      <c r="T58" s="2">
        <f t="shared" si="1"/>
        <v>7289.3</v>
      </c>
      <c r="U58" s="2">
        <f t="shared" si="2"/>
        <v>31677.7</v>
      </c>
    </row>
    <row r="59" spans="1:21" x14ac:dyDescent="0.2">
      <c r="A59" t="s">
        <v>63</v>
      </c>
      <c r="B59">
        <v>10</v>
      </c>
      <c r="C59">
        <v>4</v>
      </c>
      <c r="D59">
        <v>-5</v>
      </c>
      <c r="E59">
        <v>-9.7432999999999996</v>
      </c>
      <c r="F59">
        <v>32.154699999999998</v>
      </c>
      <c r="H59" s="2">
        <f t="shared" si="3"/>
        <v>-5000</v>
      </c>
      <c r="I59" s="2">
        <f t="shared" si="4"/>
        <v>-9743.2999999999993</v>
      </c>
      <c r="J59" s="2">
        <f t="shared" si="5"/>
        <v>32154.699999999997</v>
      </c>
      <c r="L59" t="s">
        <v>185</v>
      </c>
      <c r="M59">
        <v>10</v>
      </c>
      <c r="N59">
        <v>4</v>
      </c>
      <c r="O59">
        <v>-5</v>
      </c>
      <c r="P59">
        <v>9.7432999999999996</v>
      </c>
      <c r="Q59">
        <v>32.154699999999998</v>
      </c>
      <c r="S59" s="2">
        <f t="shared" si="6"/>
        <v>-5000</v>
      </c>
      <c r="T59" s="2">
        <f t="shared" si="1"/>
        <v>9743.2999999999993</v>
      </c>
      <c r="U59" s="2">
        <f t="shared" si="2"/>
        <v>32154.699999999997</v>
      </c>
    </row>
    <row r="60" spans="1:21" x14ac:dyDescent="0.2">
      <c r="A60" t="s">
        <v>64</v>
      </c>
      <c r="B60">
        <v>10</v>
      </c>
      <c r="C60">
        <v>5</v>
      </c>
      <c r="D60">
        <v>-4.9644000000000004</v>
      </c>
      <c r="E60">
        <v>-7.7443999999999997</v>
      </c>
      <c r="F60">
        <v>30.703499999999998</v>
      </c>
      <c r="H60" s="2">
        <f t="shared" si="3"/>
        <v>-4964.4000000000005</v>
      </c>
      <c r="I60" s="2">
        <f t="shared" si="4"/>
        <v>-7744.4</v>
      </c>
      <c r="J60" s="2">
        <f t="shared" si="5"/>
        <v>30703.5</v>
      </c>
      <c r="L60" t="s">
        <v>186</v>
      </c>
      <c r="M60">
        <v>10</v>
      </c>
      <c r="N60">
        <v>5</v>
      </c>
      <c r="O60">
        <v>-4.9644000000000004</v>
      </c>
      <c r="P60">
        <v>7.7443999999999997</v>
      </c>
      <c r="Q60">
        <v>30.703499999999998</v>
      </c>
      <c r="S60" s="2">
        <f t="shared" si="6"/>
        <v>-4964.4000000000005</v>
      </c>
      <c r="T60" s="2">
        <f t="shared" si="1"/>
        <v>7744.4</v>
      </c>
      <c r="U60" s="2">
        <f t="shared" si="2"/>
        <v>30703.5</v>
      </c>
    </row>
    <row r="61" spans="1:21" x14ac:dyDescent="0.2">
      <c r="A61" t="s">
        <v>65</v>
      </c>
      <c r="B61">
        <v>10</v>
      </c>
      <c r="C61">
        <v>6</v>
      </c>
      <c r="D61">
        <v>-4.9644000000000004</v>
      </c>
      <c r="E61">
        <v>-9.6861999999999995</v>
      </c>
      <c r="F61">
        <v>31.0809</v>
      </c>
      <c r="H61" s="2">
        <f t="shared" si="3"/>
        <v>-4964.4000000000005</v>
      </c>
      <c r="I61" s="2">
        <f t="shared" si="4"/>
        <v>-9686.1999999999989</v>
      </c>
      <c r="J61" s="2">
        <f t="shared" si="5"/>
        <v>31080.9</v>
      </c>
      <c r="L61" t="s">
        <v>187</v>
      </c>
      <c r="M61">
        <v>10</v>
      </c>
      <c r="N61">
        <v>6</v>
      </c>
      <c r="O61">
        <v>-4.9644000000000004</v>
      </c>
      <c r="P61">
        <v>9.6861999999999995</v>
      </c>
      <c r="Q61">
        <v>31.0809</v>
      </c>
      <c r="S61" s="2">
        <f t="shared" si="6"/>
        <v>-4964.4000000000005</v>
      </c>
      <c r="T61" s="2">
        <f t="shared" si="1"/>
        <v>9686.1999999999989</v>
      </c>
      <c r="U61" s="2">
        <f t="shared" si="2"/>
        <v>31080.9</v>
      </c>
    </row>
    <row r="62" spans="1:21" x14ac:dyDescent="0.2">
      <c r="A62" t="s">
        <v>66</v>
      </c>
      <c r="B62">
        <v>11</v>
      </c>
      <c r="C62">
        <v>1</v>
      </c>
      <c r="D62">
        <v>4.9644000000000004</v>
      </c>
      <c r="E62">
        <v>-7.7443999999999997</v>
      </c>
      <c r="F62">
        <v>30.703499999999998</v>
      </c>
      <c r="H62" s="2">
        <f t="shared" si="3"/>
        <v>4964.4000000000005</v>
      </c>
      <c r="I62" s="2">
        <f t="shared" si="4"/>
        <v>-7744.4</v>
      </c>
      <c r="J62" s="2">
        <f t="shared" si="5"/>
        <v>30703.5</v>
      </c>
      <c r="L62" t="s">
        <v>188</v>
      </c>
      <c r="M62">
        <v>11</v>
      </c>
      <c r="N62">
        <v>1</v>
      </c>
      <c r="O62">
        <v>4.9644000000000004</v>
      </c>
      <c r="P62">
        <v>7.7443999999999997</v>
      </c>
      <c r="Q62">
        <v>30.703499999999998</v>
      </c>
      <c r="S62" s="2">
        <f t="shared" si="6"/>
        <v>4964.4000000000005</v>
      </c>
      <c r="T62" s="2">
        <f t="shared" si="1"/>
        <v>7744.4</v>
      </c>
      <c r="U62" s="2">
        <f t="shared" si="2"/>
        <v>30703.5</v>
      </c>
    </row>
    <row r="63" spans="1:21" x14ac:dyDescent="0.2">
      <c r="A63" t="s">
        <v>67</v>
      </c>
      <c r="B63">
        <v>11</v>
      </c>
      <c r="C63">
        <v>2</v>
      </c>
      <c r="D63">
        <v>4.9644000000000004</v>
      </c>
      <c r="E63">
        <v>-9.6861999999999995</v>
      </c>
      <c r="F63">
        <v>31.0809</v>
      </c>
      <c r="H63" s="2">
        <f t="shared" si="3"/>
        <v>4964.4000000000005</v>
      </c>
      <c r="I63" s="2">
        <f t="shared" si="4"/>
        <v>-9686.1999999999989</v>
      </c>
      <c r="J63" s="2">
        <f t="shared" si="5"/>
        <v>31080.9</v>
      </c>
      <c r="L63" t="s">
        <v>189</v>
      </c>
      <c r="M63">
        <v>11</v>
      </c>
      <c r="N63">
        <v>2</v>
      </c>
      <c r="O63">
        <v>4.9644000000000004</v>
      </c>
      <c r="P63">
        <v>9.6861999999999995</v>
      </c>
      <c r="Q63">
        <v>31.0809</v>
      </c>
      <c r="S63" s="2">
        <f t="shared" si="6"/>
        <v>4964.4000000000005</v>
      </c>
      <c r="T63" s="2">
        <f t="shared" si="1"/>
        <v>9686.1999999999989</v>
      </c>
      <c r="U63" s="2">
        <f t="shared" si="2"/>
        <v>31080.9</v>
      </c>
    </row>
    <row r="64" spans="1:21" x14ac:dyDescent="0.2">
      <c r="A64" t="s">
        <v>68</v>
      </c>
      <c r="B64">
        <v>11</v>
      </c>
      <c r="C64">
        <v>3</v>
      </c>
      <c r="D64">
        <v>5</v>
      </c>
      <c r="E64">
        <v>-7.2892999999999999</v>
      </c>
      <c r="F64">
        <v>31.677700000000002</v>
      </c>
      <c r="H64" s="2">
        <f t="shared" si="3"/>
        <v>5000</v>
      </c>
      <c r="I64" s="2">
        <f t="shared" si="4"/>
        <v>-7289.3</v>
      </c>
      <c r="J64" s="2">
        <f t="shared" si="5"/>
        <v>31677.7</v>
      </c>
      <c r="L64" t="s">
        <v>190</v>
      </c>
      <c r="M64">
        <v>11</v>
      </c>
      <c r="N64">
        <v>3</v>
      </c>
      <c r="O64">
        <v>5</v>
      </c>
      <c r="P64">
        <v>7.2892999999999999</v>
      </c>
      <c r="Q64">
        <v>31.677700000000002</v>
      </c>
      <c r="S64" s="2">
        <f t="shared" si="6"/>
        <v>5000</v>
      </c>
      <c r="T64" s="2">
        <f t="shared" si="1"/>
        <v>7289.3</v>
      </c>
      <c r="U64" s="2">
        <f t="shared" si="2"/>
        <v>31677.7</v>
      </c>
    </row>
    <row r="65" spans="1:21" x14ac:dyDescent="0.2">
      <c r="A65" t="s">
        <v>69</v>
      </c>
      <c r="B65">
        <v>11</v>
      </c>
      <c r="C65">
        <v>4</v>
      </c>
      <c r="D65">
        <v>5</v>
      </c>
      <c r="E65">
        <v>-9.7432999999999996</v>
      </c>
      <c r="F65">
        <v>32.154699999999998</v>
      </c>
      <c r="H65" s="2">
        <f t="shared" si="3"/>
        <v>5000</v>
      </c>
      <c r="I65" s="2">
        <f t="shared" si="4"/>
        <v>-9743.2999999999993</v>
      </c>
      <c r="J65" s="2">
        <f t="shared" si="5"/>
        <v>32154.699999999997</v>
      </c>
      <c r="L65" t="s">
        <v>191</v>
      </c>
      <c r="M65">
        <v>11</v>
      </c>
      <c r="N65">
        <v>4</v>
      </c>
      <c r="O65">
        <v>5</v>
      </c>
      <c r="P65">
        <v>9.7432999999999996</v>
      </c>
      <c r="Q65">
        <v>32.154699999999998</v>
      </c>
      <c r="S65" s="2">
        <f t="shared" si="6"/>
        <v>5000</v>
      </c>
      <c r="T65" s="2">
        <f t="shared" si="1"/>
        <v>9743.2999999999993</v>
      </c>
      <c r="U65" s="2">
        <f t="shared" si="2"/>
        <v>32154.699999999997</v>
      </c>
    </row>
    <row r="66" spans="1:21" x14ac:dyDescent="0.2">
      <c r="A66" t="s">
        <v>70</v>
      </c>
      <c r="B66">
        <v>11</v>
      </c>
      <c r="C66">
        <v>5</v>
      </c>
      <c r="D66">
        <v>5.0355999999999996</v>
      </c>
      <c r="E66">
        <v>-7.3464</v>
      </c>
      <c r="F66">
        <v>32.751399999999997</v>
      </c>
      <c r="H66" s="2">
        <f t="shared" si="3"/>
        <v>5035.5999999999995</v>
      </c>
      <c r="I66" s="2">
        <f t="shared" si="4"/>
        <v>-7346.4</v>
      </c>
      <c r="J66" s="2">
        <f t="shared" si="5"/>
        <v>32751.399999999998</v>
      </c>
      <c r="L66" t="s">
        <v>192</v>
      </c>
      <c r="M66">
        <v>11</v>
      </c>
      <c r="N66">
        <v>5</v>
      </c>
      <c r="O66">
        <v>5.0355999999999996</v>
      </c>
      <c r="P66">
        <v>7.3464</v>
      </c>
      <c r="Q66">
        <v>32.751399999999997</v>
      </c>
      <c r="S66" s="2">
        <f t="shared" si="6"/>
        <v>5035.5999999999995</v>
      </c>
      <c r="T66" s="2">
        <f t="shared" ref="T66:T121" si="7">P66*1000</f>
        <v>7346.4</v>
      </c>
      <c r="U66" s="2">
        <f t="shared" ref="U66:U121" si="8">Q66*1000</f>
        <v>32751.399999999998</v>
      </c>
    </row>
    <row r="67" spans="1:21" x14ac:dyDescent="0.2">
      <c r="A67" t="s">
        <v>71</v>
      </c>
      <c r="B67">
        <v>11</v>
      </c>
      <c r="C67">
        <v>6</v>
      </c>
      <c r="D67">
        <v>5.0355999999999996</v>
      </c>
      <c r="E67">
        <v>-9.2881</v>
      </c>
      <c r="F67">
        <v>33.128900000000002</v>
      </c>
      <c r="H67" s="2">
        <f t="shared" ref="H67:H121" si="9">D67*1000</f>
        <v>5035.5999999999995</v>
      </c>
      <c r="I67" s="2">
        <f t="shared" ref="I67:I121" si="10">E67*1000</f>
        <v>-9288.1</v>
      </c>
      <c r="J67" s="2">
        <f t="shared" ref="J67:J121" si="11">F67*1000</f>
        <v>33128.9</v>
      </c>
      <c r="L67" t="s">
        <v>193</v>
      </c>
      <c r="M67">
        <v>11</v>
      </c>
      <c r="N67">
        <v>6</v>
      </c>
      <c r="O67">
        <v>5.0355999999999996</v>
      </c>
      <c r="P67">
        <v>9.2881</v>
      </c>
      <c r="Q67">
        <v>33.128900000000002</v>
      </c>
      <c r="S67" s="2">
        <f t="shared" ref="S67:S121" si="12">O67*1000</f>
        <v>5035.5999999999995</v>
      </c>
      <c r="T67" s="2">
        <f t="shared" si="7"/>
        <v>9288.1</v>
      </c>
      <c r="U67" s="2">
        <f t="shared" si="8"/>
        <v>33128.9</v>
      </c>
    </row>
    <row r="68" spans="1:21" x14ac:dyDescent="0.2">
      <c r="A68" t="s">
        <v>72</v>
      </c>
      <c r="B68">
        <v>12</v>
      </c>
      <c r="C68">
        <v>1</v>
      </c>
      <c r="D68">
        <v>15.876099999999999</v>
      </c>
      <c r="E68">
        <v>-7.9358000000000004</v>
      </c>
      <c r="F68">
        <v>29.845199999999998</v>
      </c>
      <c r="H68" s="2">
        <f t="shared" si="9"/>
        <v>15876.099999999999</v>
      </c>
      <c r="I68" s="2">
        <f t="shared" si="10"/>
        <v>-7935.8</v>
      </c>
      <c r="J68" s="2">
        <f t="shared" si="11"/>
        <v>29845.199999999997</v>
      </c>
      <c r="L68" t="s">
        <v>194</v>
      </c>
      <c r="M68">
        <v>12</v>
      </c>
      <c r="N68">
        <v>1</v>
      </c>
      <c r="O68">
        <v>15.876099999999999</v>
      </c>
      <c r="P68">
        <v>7.9358000000000004</v>
      </c>
      <c r="Q68">
        <v>29.845199999999998</v>
      </c>
      <c r="S68" s="2">
        <f t="shared" si="12"/>
        <v>15876.099999999999</v>
      </c>
      <c r="T68" s="2">
        <f t="shared" si="7"/>
        <v>7935.8</v>
      </c>
      <c r="U68" s="2">
        <f t="shared" si="8"/>
        <v>29845.199999999997</v>
      </c>
    </row>
    <row r="69" spans="1:21" x14ac:dyDescent="0.2">
      <c r="A69" t="s">
        <v>73</v>
      </c>
      <c r="B69">
        <v>12</v>
      </c>
      <c r="C69">
        <v>2</v>
      </c>
      <c r="D69">
        <v>15.876099999999999</v>
      </c>
      <c r="E69">
        <v>-9.8302999999999994</v>
      </c>
      <c r="F69">
        <v>30.2135</v>
      </c>
      <c r="H69" s="2">
        <f t="shared" si="9"/>
        <v>15876.099999999999</v>
      </c>
      <c r="I69" s="2">
        <f t="shared" si="10"/>
        <v>-9830.2999999999993</v>
      </c>
      <c r="J69" s="2">
        <f t="shared" si="11"/>
        <v>30213.5</v>
      </c>
      <c r="L69" t="s">
        <v>195</v>
      </c>
      <c r="M69">
        <v>12</v>
      </c>
      <c r="N69">
        <v>2</v>
      </c>
      <c r="O69">
        <v>15.876099999999999</v>
      </c>
      <c r="P69">
        <v>9.8302999999999994</v>
      </c>
      <c r="Q69">
        <v>30.2135</v>
      </c>
      <c r="S69" s="2">
        <f t="shared" si="12"/>
        <v>15876.099999999999</v>
      </c>
      <c r="T69" s="2">
        <f t="shared" si="7"/>
        <v>9830.2999999999993</v>
      </c>
      <c r="U69" s="2">
        <f t="shared" si="8"/>
        <v>30213.5</v>
      </c>
    </row>
    <row r="70" spans="1:21" x14ac:dyDescent="0.2">
      <c r="A70" t="s">
        <v>74</v>
      </c>
      <c r="B70">
        <v>12</v>
      </c>
      <c r="C70">
        <v>3</v>
      </c>
      <c r="D70">
        <v>16</v>
      </c>
      <c r="E70">
        <v>-7.4398</v>
      </c>
      <c r="F70">
        <v>30.903199999999998</v>
      </c>
      <c r="H70" s="2">
        <f t="shared" si="9"/>
        <v>16000</v>
      </c>
      <c r="I70" s="2">
        <f t="shared" si="10"/>
        <v>-7439.8</v>
      </c>
      <c r="J70" s="2">
        <f t="shared" si="11"/>
        <v>30903.199999999997</v>
      </c>
      <c r="L70" t="s">
        <v>196</v>
      </c>
      <c r="M70">
        <v>12</v>
      </c>
      <c r="N70">
        <v>3</v>
      </c>
      <c r="O70">
        <v>16</v>
      </c>
      <c r="P70">
        <v>7.4398</v>
      </c>
      <c r="Q70">
        <v>30.903199999999998</v>
      </c>
      <c r="S70" s="2">
        <f t="shared" si="12"/>
        <v>16000</v>
      </c>
      <c r="T70" s="2">
        <f t="shared" si="7"/>
        <v>7439.8</v>
      </c>
      <c r="U70" s="2">
        <f t="shared" si="8"/>
        <v>30903.199999999997</v>
      </c>
    </row>
    <row r="71" spans="1:21" x14ac:dyDescent="0.2">
      <c r="A71" t="s">
        <v>75</v>
      </c>
      <c r="B71">
        <v>12</v>
      </c>
      <c r="C71">
        <v>4</v>
      </c>
      <c r="D71">
        <v>16</v>
      </c>
      <c r="E71">
        <v>-9.8939000000000004</v>
      </c>
      <c r="F71">
        <v>31.380299999999998</v>
      </c>
      <c r="H71" s="2">
        <f t="shared" si="9"/>
        <v>16000</v>
      </c>
      <c r="I71" s="2">
        <f t="shared" si="10"/>
        <v>-9893.9</v>
      </c>
      <c r="J71" s="2">
        <f t="shared" si="11"/>
        <v>31380.3</v>
      </c>
      <c r="L71" t="s">
        <v>197</v>
      </c>
      <c r="M71">
        <v>12</v>
      </c>
      <c r="N71">
        <v>4</v>
      </c>
      <c r="O71">
        <v>16</v>
      </c>
      <c r="P71">
        <v>9.8939000000000004</v>
      </c>
      <c r="Q71">
        <v>31.380299999999998</v>
      </c>
      <c r="S71" s="2">
        <f t="shared" si="12"/>
        <v>16000</v>
      </c>
      <c r="T71" s="2">
        <f t="shared" si="7"/>
        <v>9893.9</v>
      </c>
      <c r="U71" s="2">
        <f t="shared" si="8"/>
        <v>31380.3</v>
      </c>
    </row>
    <row r="72" spans="1:21" x14ac:dyDescent="0.2">
      <c r="A72" t="s">
        <v>76</v>
      </c>
      <c r="B72">
        <v>12</v>
      </c>
      <c r="C72">
        <v>5</v>
      </c>
      <c r="D72">
        <v>16.123899999999999</v>
      </c>
      <c r="E72">
        <v>-7.5033000000000003</v>
      </c>
      <c r="F72">
        <v>32.070099999999996</v>
      </c>
      <c r="H72" s="2">
        <f t="shared" si="9"/>
        <v>16123.9</v>
      </c>
      <c r="I72" s="2">
        <f t="shared" si="10"/>
        <v>-7503.3</v>
      </c>
      <c r="J72" s="2">
        <f t="shared" si="11"/>
        <v>32070.099999999995</v>
      </c>
      <c r="L72" t="s">
        <v>198</v>
      </c>
      <c r="M72">
        <v>12</v>
      </c>
      <c r="N72">
        <v>5</v>
      </c>
      <c r="O72">
        <v>16.123899999999999</v>
      </c>
      <c r="P72">
        <v>7.5033000000000003</v>
      </c>
      <c r="Q72">
        <v>32.070099999999996</v>
      </c>
      <c r="S72" s="2">
        <f t="shared" si="12"/>
        <v>16123.9</v>
      </c>
      <c r="T72" s="2">
        <f t="shared" si="7"/>
        <v>7503.3</v>
      </c>
      <c r="U72" s="2">
        <f t="shared" si="8"/>
        <v>32070.099999999995</v>
      </c>
    </row>
    <row r="73" spans="1:21" x14ac:dyDescent="0.2">
      <c r="A73" t="s">
        <v>77</v>
      </c>
      <c r="B73">
        <v>12</v>
      </c>
      <c r="C73">
        <v>6</v>
      </c>
      <c r="D73">
        <v>16.123899999999999</v>
      </c>
      <c r="E73">
        <v>-9.3978999999999999</v>
      </c>
      <c r="F73">
        <v>32.438299999999998</v>
      </c>
      <c r="H73" s="2">
        <f t="shared" si="9"/>
        <v>16123.9</v>
      </c>
      <c r="I73" s="2">
        <f t="shared" si="10"/>
        <v>-9397.9</v>
      </c>
      <c r="J73" s="2">
        <f t="shared" si="11"/>
        <v>32438.3</v>
      </c>
      <c r="L73" t="s">
        <v>199</v>
      </c>
      <c r="M73">
        <v>12</v>
      </c>
      <c r="N73">
        <v>6</v>
      </c>
      <c r="O73">
        <v>16.123899999999999</v>
      </c>
      <c r="P73">
        <v>9.3978999999999999</v>
      </c>
      <c r="Q73">
        <v>32.438299999999998</v>
      </c>
      <c r="S73" s="2">
        <f t="shared" si="12"/>
        <v>16123.9</v>
      </c>
      <c r="T73" s="2">
        <f t="shared" si="7"/>
        <v>9397.9</v>
      </c>
      <c r="U73" s="2">
        <f t="shared" si="8"/>
        <v>32438.3</v>
      </c>
    </row>
    <row r="74" spans="1:21" x14ac:dyDescent="0.2">
      <c r="A74" t="s">
        <v>78</v>
      </c>
      <c r="B74">
        <v>13</v>
      </c>
      <c r="C74">
        <v>1</v>
      </c>
      <c r="D74">
        <v>28.261299999999999</v>
      </c>
      <c r="E74">
        <v>-8.3429000000000002</v>
      </c>
      <c r="F74">
        <v>27.894200000000001</v>
      </c>
      <c r="H74" s="2">
        <f t="shared" si="9"/>
        <v>28261.3</v>
      </c>
      <c r="I74" s="2">
        <f t="shared" si="10"/>
        <v>-8342.9</v>
      </c>
      <c r="J74" s="2">
        <f t="shared" si="11"/>
        <v>27894.2</v>
      </c>
      <c r="L74" t="s">
        <v>200</v>
      </c>
      <c r="M74">
        <v>13</v>
      </c>
      <c r="N74">
        <v>1</v>
      </c>
      <c r="O74">
        <v>28.261299999999999</v>
      </c>
      <c r="P74">
        <v>8.3429000000000002</v>
      </c>
      <c r="Q74">
        <v>27.894200000000001</v>
      </c>
      <c r="S74" s="2">
        <f t="shared" si="12"/>
        <v>28261.3</v>
      </c>
      <c r="T74" s="2">
        <f t="shared" si="7"/>
        <v>8342.9</v>
      </c>
      <c r="U74" s="2">
        <f t="shared" si="8"/>
        <v>27894.2</v>
      </c>
    </row>
    <row r="75" spans="1:21" x14ac:dyDescent="0.2">
      <c r="A75" t="s">
        <v>79</v>
      </c>
      <c r="B75">
        <v>13</v>
      </c>
      <c r="C75">
        <v>2</v>
      </c>
      <c r="D75">
        <v>28.261299999999999</v>
      </c>
      <c r="E75">
        <v>-10.1837</v>
      </c>
      <c r="F75">
        <v>28.251999999999999</v>
      </c>
      <c r="H75" s="2">
        <f t="shared" si="9"/>
        <v>28261.3</v>
      </c>
      <c r="I75" s="2">
        <f t="shared" si="10"/>
        <v>-10183.700000000001</v>
      </c>
      <c r="J75" s="2">
        <f t="shared" si="11"/>
        <v>28252</v>
      </c>
      <c r="L75" t="s">
        <v>201</v>
      </c>
      <c r="M75">
        <v>13</v>
      </c>
      <c r="N75">
        <v>2</v>
      </c>
      <c r="O75">
        <v>28.261299999999999</v>
      </c>
      <c r="P75">
        <v>10.1837</v>
      </c>
      <c r="Q75">
        <v>28.251999999999999</v>
      </c>
      <c r="S75" s="2">
        <f t="shared" si="12"/>
        <v>28261.3</v>
      </c>
      <c r="T75" s="2">
        <f t="shared" si="7"/>
        <v>10183.700000000001</v>
      </c>
      <c r="U75" s="2">
        <f t="shared" si="8"/>
        <v>28252</v>
      </c>
    </row>
    <row r="76" spans="1:21" x14ac:dyDescent="0.2">
      <c r="A76" t="s">
        <v>80</v>
      </c>
      <c r="B76">
        <v>13</v>
      </c>
      <c r="C76">
        <v>3</v>
      </c>
      <c r="D76">
        <v>28.5</v>
      </c>
      <c r="E76">
        <v>-7.8022999999999998</v>
      </c>
      <c r="F76">
        <v>29.038399999999999</v>
      </c>
      <c r="H76" s="2">
        <f t="shared" si="9"/>
        <v>28500</v>
      </c>
      <c r="I76" s="2">
        <f t="shared" si="10"/>
        <v>-7802.3</v>
      </c>
      <c r="J76" s="2">
        <f t="shared" si="11"/>
        <v>29038.399999999998</v>
      </c>
      <c r="L76" t="s">
        <v>202</v>
      </c>
      <c r="M76">
        <v>13</v>
      </c>
      <c r="N76">
        <v>3</v>
      </c>
      <c r="O76">
        <v>28.5</v>
      </c>
      <c r="P76">
        <v>7.8022999999999998</v>
      </c>
      <c r="Q76">
        <v>29.038399999999999</v>
      </c>
      <c r="S76" s="2">
        <f t="shared" si="12"/>
        <v>28500</v>
      </c>
      <c r="T76" s="2">
        <f t="shared" si="7"/>
        <v>7802.3</v>
      </c>
      <c r="U76" s="2">
        <f t="shared" si="8"/>
        <v>29038.399999999998</v>
      </c>
    </row>
    <row r="77" spans="1:21" x14ac:dyDescent="0.2">
      <c r="A77" t="s">
        <v>81</v>
      </c>
      <c r="B77">
        <v>13</v>
      </c>
      <c r="C77">
        <v>4</v>
      </c>
      <c r="D77">
        <v>28.5</v>
      </c>
      <c r="E77">
        <v>-10.2563</v>
      </c>
      <c r="F77">
        <v>29.5154</v>
      </c>
      <c r="H77" s="2">
        <f t="shared" si="9"/>
        <v>28500</v>
      </c>
      <c r="I77" s="2">
        <f t="shared" si="10"/>
        <v>-10256.299999999999</v>
      </c>
      <c r="J77" s="2">
        <f t="shared" si="11"/>
        <v>29515.4</v>
      </c>
      <c r="L77" t="s">
        <v>203</v>
      </c>
      <c r="M77">
        <v>13</v>
      </c>
      <c r="N77">
        <v>4</v>
      </c>
      <c r="O77">
        <v>28.5</v>
      </c>
      <c r="P77">
        <v>10.2563</v>
      </c>
      <c r="Q77">
        <v>29.5154</v>
      </c>
      <c r="S77" s="2">
        <f t="shared" si="12"/>
        <v>28500</v>
      </c>
      <c r="T77" s="2">
        <f t="shared" si="7"/>
        <v>10256.299999999999</v>
      </c>
      <c r="U77" s="2">
        <f t="shared" si="8"/>
        <v>29515.4</v>
      </c>
    </row>
    <row r="78" spans="1:21" x14ac:dyDescent="0.2">
      <c r="A78" t="s">
        <v>82</v>
      </c>
      <c r="B78">
        <v>13</v>
      </c>
      <c r="C78">
        <v>5</v>
      </c>
      <c r="D78">
        <v>28.738700000000001</v>
      </c>
      <c r="E78">
        <v>-7.8749000000000002</v>
      </c>
      <c r="F78">
        <v>30.3018</v>
      </c>
      <c r="H78" s="2">
        <f t="shared" si="9"/>
        <v>28738.7</v>
      </c>
      <c r="I78" s="2">
        <f t="shared" si="10"/>
        <v>-7874.9000000000005</v>
      </c>
      <c r="J78" s="2">
        <f t="shared" si="11"/>
        <v>30301.8</v>
      </c>
      <c r="L78" t="s">
        <v>204</v>
      </c>
      <c r="M78">
        <v>13</v>
      </c>
      <c r="N78">
        <v>5</v>
      </c>
      <c r="O78">
        <v>28.738700000000001</v>
      </c>
      <c r="P78">
        <v>7.8749000000000002</v>
      </c>
      <c r="Q78">
        <v>30.3018</v>
      </c>
      <c r="S78" s="2">
        <f t="shared" si="12"/>
        <v>28738.7</v>
      </c>
      <c r="T78" s="2">
        <f t="shared" si="7"/>
        <v>7874.9000000000005</v>
      </c>
      <c r="U78" s="2">
        <f t="shared" si="8"/>
        <v>30301.8</v>
      </c>
    </row>
    <row r="79" spans="1:21" x14ac:dyDescent="0.2">
      <c r="A79" t="s">
        <v>83</v>
      </c>
      <c r="B79">
        <v>13</v>
      </c>
      <c r="C79">
        <v>6</v>
      </c>
      <c r="D79">
        <v>28.738700000000001</v>
      </c>
      <c r="E79">
        <v>-9.7157</v>
      </c>
      <c r="F79">
        <v>30.659700000000001</v>
      </c>
      <c r="H79" s="2">
        <f t="shared" si="9"/>
        <v>28738.7</v>
      </c>
      <c r="I79" s="2">
        <f t="shared" si="10"/>
        <v>-9715.7000000000007</v>
      </c>
      <c r="J79" s="2">
        <f t="shared" si="11"/>
        <v>30659.7</v>
      </c>
      <c r="L79" t="s">
        <v>205</v>
      </c>
      <c r="M79">
        <v>13</v>
      </c>
      <c r="N79">
        <v>6</v>
      </c>
      <c r="O79">
        <v>28.738700000000001</v>
      </c>
      <c r="P79">
        <v>9.7157</v>
      </c>
      <c r="Q79">
        <v>30.659700000000001</v>
      </c>
      <c r="S79" s="2">
        <f t="shared" si="12"/>
        <v>28738.7</v>
      </c>
      <c r="T79" s="2">
        <f t="shared" si="7"/>
        <v>9715.7000000000007</v>
      </c>
      <c r="U79" s="2">
        <f t="shared" si="8"/>
        <v>30659.7</v>
      </c>
    </row>
    <row r="80" spans="1:21" x14ac:dyDescent="0.2">
      <c r="A80" t="s">
        <v>84</v>
      </c>
      <c r="B80">
        <v>14</v>
      </c>
      <c r="C80">
        <v>1</v>
      </c>
      <c r="D80">
        <v>39.644199999999998</v>
      </c>
      <c r="E80">
        <v>-8.8954000000000004</v>
      </c>
      <c r="F80">
        <v>25.183499999999999</v>
      </c>
      <c r="H80" s="2">
        <f t="shared" si="9"/>
        <v>39644.199999999997</v>
      </c>
      <c r="I80" s="2">
        <f t="shared" si="10"/>
        <v>-8895.4</v>
      </c>
      <c r="J80" s="2">
        <f t="shared" si="11"/>
        <v>25183.5</v>
      </c>
      <c r="L80" t="s">
        <v>206</v>
      </c>
      <c r="M80">
        <v>14</v>
      </c>
      <c r="N80">
        <v>1</v>
      </c>
      <c r="O80">
        <v>39.644199999999998</v>
      </c>
      <c r="P80">
        <v>8.8954000000000004</v>
      </c>
      <c r="Q80">
        <v>25.183499999999999</v>
      </c>
      <c r="S80" s="2">
        <f t="shared" si="12"/>
        <v>39644.199999999997</v>
      </c>
      <c r="T80" s="2">
        <f t="shared" si="7"/>
        <v>8895.4</v>
      </c>
      <c r="U80" s="2">
        <f t="shared" si="8"/>
        <v>25183.5</v>
      </c>
    </row>
    <row r="81" spans="1:21" x14ac:dyDescent="0.2">
      <c r="A81" t="s">
        <v>85</v>
      </c>
      <c r="B81">
        <v>14</v>
      </c>
      <c r="C81">
        <v>2</v>
      </c>
      <c r="D81">
        <v>39.644199999999998</v>
      </c>
      <c r="E81">
        <v>-10.6869</v>
      </c>
      <c r="F81">
        <v>25.5318</v>
      </c>
      <c r="H81" s="2">
        <f t="shared" si="9"/>
        <v>39644.199999999997</v>
      </c>
      <c r="I81" s="2">
        <f t="shared" si="10"/>
        <v>-10686.9</v>
      </c>
      <c r="J81" s="2">
        <f t="shared" si="11"/>
        <v>25531.8</v>
      </c>
      <c r="L81" t="s">
        <v>207</v>
      </c>
      <c r="M81">
        <v>14</v>
      </c>
      <c r="N81">
        <v>2</v>
      </c>
      <c r="O81">
        <v>39.644199999999998</v>
      </c>
      <c r="P81">
        <v>10.6869</v>
      </c>
      <c r="Q81">
        <v>25.5318</v>
      </c>
      <c r="S81" s="2">
        <f t="shared" si="12"/>
        <v>39644.199999999997</v>
      </c>
      <c r="T81" s="2">
        <f t="shared" si="7"/>
        <v>10686.9</v>
      </c>
      <c r="U81" s="2">
        <f t="shared" si="8"/>
        <v>25531.8</v>
      </c>
    </row>
    <row r="82" spans="1:21" x14ac:dyDescent="0.2">
      <c r="A82" t="s">
        <v>86</v>
      </c>
      <c r="B82">
        <v>14</v>
      </c>
      <c r="C82">
        <v>3</v>
      </c>
      <c r="D82">
        <v>40</v>
      </c>
      <c r="E82">
        <v>-8.3155999999999999</v>
      </c>
      <c r="F82">
        <v>26.397500000000001</v>
      </c>
      <c r="H82" s="2">
        <f t="shared" si="9"/>
        <v>40000</v>
      </c>
      <c r="I82" s="2">
        <f t="shared" si="10"/>
        <v>-8315.6</v>
      </c>
      <c r="J82" s="2">
        <f t="shared" si="11"/>
        <v>26397.5</v>
      </c>
      <c r="L82" t="s">
        <v>208</v>
      </c>
      <c r="M82">
        <v>14</v>
      </c>
      <c r="N82">
        <v>3</v>
      </c>
      <c r="O82">
        <v>40</v>
      </c>
      <c r="P82">
        <v>8.3155999999999999</v>
      </c>
      <c r="Q82">
        <v>26.397500000000001</v>
      </c>
      <c r="S82" s="2">
        <f t="shared" si="12"/>
        <v>40000</v>
      </c>
      <c r="T82" s="2">
        <f t="shared" si="7"/>
        <v>8315.6</v>
      </c>
      <c r="U82" s="2">
        <f t="shared" si="8"/>
        <v>26397.5</v>
      </c>
    </row>
    <row r="83" spans="1:21" x14ac:dyDescent="0.2">
      <c r="A83" t="s">
        <v>87</v>
      </c>
      <c r="B83">
        <v>14</v>
      </c>
      <c r="C83">
        <v>4</v>
      </c>
      <c r="D83">
        <v>40</v>
      </c>
      <c r="E83">
        <v>-10.7697</v>
      </c>
      <c r="F83">
        <v>26.874500000000001</v>
      </c>
      <c r="H83" s="2">
        <f t="shared" si="9"/>
        <v>40000</v>
      </c>
      <c r="I83" s="2">
        <f t="shared" si="10"/>
        <v>-10769.7</v>
      </c>
      <c r="J83" s="2">
        <f t="shared" si="11"/>
        <v>26874.5</v>
      </c>
      <c r="L83" t="s">
        <v>209</v>
      </c>
      <c r="M83">
        <v>14</v>
      </c>
      <c r="N83">
        <v>4</v>
      </c>
      <c r="O83">
        <v>40</v>
      </c>
      <c r="P83">
        <v>10.7697</v>
      </c>
      <c r="Q83">
        <v>26.874500000000001</v>
      </c>
      <c r="S83" s="2">
        <f t="shared" si="12"/>
        <v>40000</v>
      </c>
      <c r="T83" s="2">
        <f t="shared" si="7"/>
        <v>10769.7</v>
      </c>
      <c r="U83" s="2">
        <f t="shared" si="8"/>
        <v>26874.5</v>
      </c>
    </row>
    <row r="84" spans="1:21" x14ac:dyDescent="0.2">
      <c r="A84" t="s">
        <v>88</v>
      </c>
      <c r="B84">
        <v>14</v>
      </c>
      <c r="C84">
        <v>5</v>
      </c>
      <c r="D84">
        <v>40.355800000000002</v>
      </c>
      <c r="E84">
        <v>-8.3984000000000005</v>
      </c>
      <c r="F84">
        <v>27.740200000000002</v>
      </c>
      <c r="H84" s="2">
        <f t="shared" si="9"/>
        <v>40355.800000000003</v>
      </c>
      <c r="I84" s="2">
        <f t="shared" si="10"/>
        <v>-8398.4</v>
      </c>
      <c r="J84" s="2">
        <f t="shared" si="11"/>
        <v>27740.2</v>
      </c>
      <c r="L84" t="s">
        <v>210</v>
      </c>
      <c r="M84">
        <v>14</v>
      </c>
      <c r="N84">
        <v>5</v>
      </c>
      <c r="O84">
        <v>40.355800000000002</v>
      </c>
      <c r="P84">
        <v>8.3984000000000005</v>
      </c>
      <c r="Q84">
        <v>27.740200000000002</v>
      </c>
      <c r="S84" s="2">
        <f t="shared" si="12"/>
        <v>40355.800000000003</v>
      </c>
      <c r="T84" s="2">
        <f t="shared" si="7"/>
        <v>8398.4</v>
      </c>
      <c r="U84" s="2">
        <f t="shared" si="8"/>
        <v>27740.2</v>
      </c>
    </row>
    <row r="85" spans="1:21" x14ac:dyDescent="0.2">
      <c r="A85" t="s">
        <v>89</v>
      </c>
      <c r="B85">
        <v>14</v>
      </c>
      <c r="C85">
        <v>6</v>
      </c>
      <c r="D85">
        <v>40.355800000000002</v>
      </c>
      <c r="E85">
        <v>-10.1899</v>
      </c>
      <c r="F85">
        <v>28.0885</v>
      </c>
      <c r="H85" s="2">
        <f t="shared" si="9"/>
        <v>40355.800000000003</v>
      </c>
      <c r="I85" s="2">
        <f t="shared" si="10"/>
        <v>-10189.9</v>
      </c>
      <c r="J85" s="2">
        <f t="shared" si="11"/>
        <v>28088.5</v>
      </c>
      <c r="L85" t="s">
        <v>211</v>
      </c>
      <c r="M85">
        <v>14</v>
      </c>
      <c r="N85">
        <v>6</v>
      </c>
      <c r="O85">
        <v>40.355800000000002</v>
      </c>
      <c r="P85">
        <v>10.1899</v>
      </c>
      <c r="Q85">
        <v>28.0885</v>
      </c>
      <c r="S85" s="2">
        <f t="shared" si="12"/>
        <v>40355.800000000003</v>
      </c>
      <c r="T85" s="2">
        <f t="shared" si="7"/>
        <v>10189.9</v>
      </c>
      <c r="U85" s="2">
        <f t="shared" si="8"/>
        <v>28088.5</v>
      </c>
    </row>
    <row r="86" spans="1:21" x14ac:dyDescent="0.2">
      <c r="A86" t="s">
        <v>90</v>
      </c>
      <c r="B86">
        <v>15</v>
      </c>
      <c r="C86">
        <v>1</v>
      </c>
      <c r="D86">
        <v>49.535400000000003</v>
      </c>
      <c r="E86">
        <v>-9.5145</v>
      </c>
      <c r="F86">
        <v>22.113499999999998</v>
      </c>
      <c r="H86" s="2">
        <f t="shared" si="9"/>
        <v>49535.4</v>
      </c>
      <c r="I86" s="2">
        <f t="shared" si="10"/>
        <v>-9514.5</v>
      </c>
      <c r="J86" s="2">
        <f t="shared" si="11"/>
        <v>22113.5</v>
      </c>
      <c r="L86" t="s">
        <v>212</v>
      </c>
      <c r="M86">
        <v>15</v>
      </c>
      <c r="N86">
        <v>1</v>
      </c>
      <c r="O86">
        <v>49.535400000000003</v>
      </c>
      <c r="P86">
        <v>9.5145</v>
      </c>
      <c r="Q86">
        <v>22.113499999999998</v>
      </c>
      <c r="S86" s="2">
        <f t="shared" si="12"/>
        <v>49535.4</v>
      </c>
      <c r="T86" s="2">
        <f t="shared" si="7"/>
        <v>9514.5</v>
      </c>
      <c r="U86" s="2">
        <f t="shared" si="8"/>
        <v>22113.5</v>
      </c>
    </row>
    <row r="87" spans="1:21" x14ac:dyDescent="0.2">
      <c r="A87" t="s">
        <v>91</v>
      </c>
      <c r="B87">
        <v>15</v>
      </c>
      <c r="C87">
        <v>2</v>
      </c>
      <c r="D87">
        <v>49.535400000000003</v>
      </c>
      <c r="E87">
        <v>-11.263</v>
      </c>
      <c r="F87">
        <v>22.453299999999999</v>
      </c>
      <c r="H87" s="2">
        <f t="shared" si="9"/>
        <v>49535.4</v>
      </c>
      <c r="I87" s="2">
        <f t="shared" si="10"/>
        <v>-11263</v>
      </c>
      <c r="J87" s="2">
        <f t="shared" si="11"/>
        <v>22453.3</v>
      </c>
      <c r="L87" t="s">
        <v>213</v>
      </c>
      <c r="M87">
        <v>15</v>
      </c>
      <c r="N87">
        <v>2</v>
      </c>
      <c r="O87">
        <v>49.535400000000003</v>
      </c>
      <c r="P87">
        <v>11.263</v>
      </c>
      <c r="Q87">
        <v>22.453299999999999</v>
      </c>
      <c r="S87" s="2">
        <f t="shared" si="12"/>
        <v>49535.4</v>
      </c>
      <c r="T87" s="2">
        <f t="shared" si="7"/>
        <v>11263</v>
      </c>
      <c r="U87" s="2">
        <f t="shared" si="8"/>
        <v>22453.3</v>
      </c>
    </row>
    <row r="88" spans="1:21" x14ac:dyDescent="0.2">
      <c r="A88" t="s">
        <v>92</v>
      </c>
      <c r="B88">
        <v>15</v>
      </c>
      <c r="C88">
        <v>3</v>
      </c>
      <c r="D88">
        <v>50</v>
      </c>
      <c r="E88">
        <v>-8.9021000000000008</v>
      </c>
      <c r="F88">
        <v>23.380199999999999</v>
      </c>
      <c r="H88" s="2">
        <f t="shared" si="9"/>
        <v>50000</v>
      </c>
      <c r="I88" s="2">
        <f t="shared" si="10"/>
        <v>-8902.1</v>
      </c>
      <c r="J88" s="2">
        <f t="shared" si="11"/>
        <v>23380.199999999997</v>
      </c>
      <c r="L88" t="s">
        <v>214</v>
      </c>
      <c r="M88">
        <v>15</v>
      </c>
      <c r="N88">
        <v>3</v>
      </c>
      <c r="O88">
        <v>50</v>
      </c>
      <c r="P88">
        <v>8.9021000000000008</v>
      </c>
      <c r="Q88">
        <v>23.380199999999999</v>
      </c>
      <c r="S88" s="2">
        <f t="shared" si="12"/>
        <v>50000</v>
      </c>
      <c r="T88" s="2">
        <f t="shared" si="7"/>
        <v>8902.1</v>
      </c>
      <c r="U88" s="2">
        <f t="shared" si="8"/>
        <v>23380.199999999997</v>
      </c>
    </row>
    <row r="89" spans="1:21" x14ac:dyDescent="0.2">
      <c r="A89" t="s">
        <v>93</v>
      </c>
      <c r="B89">
        <v>15</v>
      </c>
      <c r="C89">
        <v>4</v>
      </c>
      <c r="D89">
        <v>50</v>
      </c>
      <c r="E89">
        <v>-11.356199999999999</v>
      </c>
      <c r="F89">
        <v>23.857299999999999</v>
      </c>
      <c r="H89" s="2">
        <f t="shared" si="9"/>
        <v>50000</v>
      </c>
      <c r="I89" s="2">
        <f t="shared" si="10"/>
        <v>-11356.199999999999</v>
      </c>
      <c r="J89" s="2">
        <f t="shared" si="11"/>
        <v>23857.3</v>
      </c>
      <c r="L89" t="s">
        <v>215</v>
      </c>
      <c r="M89">
        <v>15</v>
      </c>
      <c r="N89">
        <v>4</v>
      </c>
      <c r="O89">
        <v>50</v>
      </c>
      <c r="P89">
        <v>11.356199999999999</v>
      </c>
      <c r="Q89">
        <v>23.857299999999999</v>
      </c>
      <c r="S89" s="2">
        <f t="shared" si="12"/>
        <v>50000</v>
      </c>
      <c r="T89" s="2">
        <f t="shared" si="7"/>
        <v>11356.199999999999</v>
      </c>
      <c r="U89" s="2">
        <f t="shared" si="8"/>
        <v>23857.3</v>
      </c>
    </row>
    <row r="90" spans="1:21" x14ac:dyDescent="0.2">
      <c r="A90" t="s">
        <v>94</v>
      </c>
      <c r="B90">
        <v>15</v>
      </c>
      <c r="C90">
        <v>5</v>
      </c>
      <c r="D90">
        <v>50.464599999999997</v>
      </c>
      <c r="E90">
        <v>-8.9953000000000003</v>
      </c>
      <c r="F90">
        <v>24.784199999999998</v>
      </c>
      <c r="H90" s="2">
        <f t="shared" si="9"/>
        <v>50464.6</v>
      </c>
      <c r="I90" s="2">
        <f t="shared" si="10"/>
        <v>-8995.3000000000011</v>
      </c>
      <c r="J90" s="2">
        <f t="shared" si="11"/>
        <v>24784.199999999997</v>
      </c>
      <c r="L90" t="s">
        <v>216</v>
      </c>
      <c r="M90">
        <v>15</v>
      </c>
      <c r="N90">
        <v>5</v>
      </c>
      <c r="O90">
        <v>50.464599999999997</v>
      </c>
      <c r="P90">
        <v>8.9953000000000003</v>
      </c>
      <c r="Q90">
        <v>24.784199999999998</v>
      </c>
      <c r="S90" s="2">
        <f t="shared" si="12"/>
        <v>50464.6</v>
      </c>
      <c r="T90" s="2">
        <f t="shared" si="7"/>
        <v>8995.3000000000011</v>
      </c>
      <c r="U90" s="2">
        <f t="shared" si="8"/>
        <v>24784.199999999997</v>
      </c>
    </row>
    <row r="91" spans="1:21" x14ac:dyDescent="0.2">
      <c r="A91" t="s">
        <v>95</v>
      </c>
      <c r="B91">
        <v>15</v>
      </c>
      <c r="C91">
        <v>6</v>
      </c>
      <c r="D91">
        <v>50.464599999999997</v>
      </c>
      <c r="E91">
        <v>-10.7438</v>
      </c>
      <c r="F91">
        <v>25.123999999999999</v>
      </c>
      <c r="H91" s="2">
        <f t="shared" si="9"/>
        <v>50464.6</v>
      </c>
      <c r="I91" s="2">
        <f t="shared" si="10"/>
        <v>-10743.800000000001</v>
      </c>
      <c r="J91" s="2">
        <f t="shared" si="11"/>
        <v>25124</v>
      </c>
      <c r="L91" t="s">
        <v>217</v>
      </c>
      <c r="M91">
        <v>15</v>
      </c>
      <c r="N91">
        <v>6</v>
      </c>
      <c r="O91">
        <v>50.464599999999997</v>
      </c>
      <c r="P91">
        <v>10.7438</v>
      </c>
      <c r="Q91">
        <v>25.123999999999999</v>
      </c>
      <c r="S91" s="2">
        <f t="shared" si="12"/>
        <v>50464.6</v>
      </c>
      <c r="T91" s="2">
        <f t="shared" si="7"/>
        <v>10743.800000000001</v>
      </c>
      <c r="U91" s="2">
        <f t="shared" si="8"/>
        <v>25124</v>
      </c>
    </row>
    <row r="92" spans="1:21" x14ac:dyDescent="0.2">
      <c r="A92" t="s">
        <v>96</v>
      </c>
      <c r="B92">
        <v>16</v>
      </c>
      <c r="C92">
        <v>1</v>
      </c>
      <c r="D92">
        <v>58.433199999999999</v>
      </c>
      <c r="E92">
        <v>-10.181800000000001</v>
      </c>
      <c r="F92">
        <v>18.783300000000001</v>
      </c>
      <c r="H92" s="2">
        <f t="shared" si="9"/>
        <v>58433.2</v>
      </c>
      <c r="I92" s="2">
        <f t="shared" si="10"/>
        <v>-10181.800000000001</v>
      </c>
      <c r="J92" s="2">
        <f t="shared" si="11"/>
        <v>18783.3</v>
      </c>
      <c r="L92" t="s">
        <v>218</v>
      </c>
      <c r="M92">
        <v>16</v>
      </c>
      <c r="N92">
        <v>1</v>
      </c>
      <c r="O92">
        <v>58.433199999999999</v>
      </c>
      <c r="P92">
        <v>10.181800000000001</v>
      </c>
      <c r="Q92">
        <v>18.783300000000001</v>
      </c>
      <c r="S92" s="2">
        <f t="shared" si="12"/>
        <v>58433.2</v>
      </c>
      <c r="T92" s="2">
        <f t="shared" si="7"/>
        <v>10181.800000000001</v>
      </c>
      <c r="U92" s="2">
        <f t="shared" si="8"/>
        <v>18783.3</v>
      </c>
    </row>
    <row r="93" spans="1:21" x14ac:dyDescent="0.2">
      <c r="A93" t="s">
        <v>97</v>
      </c>
      <c r="B93">
        <v>16</v>
      </c>
      <c r="C93">
        <v>2</v>
      </c>
      <c r="D93">
        <v>58.433199999999999</v>
      </c>
      <c r="E93">
        <v>-11.8917</v>
      </c>
      <c r="F93">
        <v>19.115600000000001</v>
      </c>
      <c r="H93" s="2">
        <f t="shared" si="9"/>
        <v>58433.2</v>
      </c>
      <c r="I93" s="2">
        <f t="shared" si="10"/>
        <v>-11891.7</v>
      </c>
      <c r="J93" s="2">
        <f t="shared" si="11"/>
        <v>19115.600000000002</v>
      </c>
      <c r="L93" t="s">
        <v>219</v>
      </c>
      <c r="M93">
        <v>16</v>
      </c>
      <c r="N93">
        <v>2</v>
      </c>
      <c r="O93">
        <v>58.433199999999999</v>
      </c>
      <c r="P93">
        <v>11.8917</v>
      </c>
      <c r="Q93">
        <v>19.115600000000001</v>
      </c>
      <c r="S93" s="2">
        <f t="shared" si="12"/>
        <v>58433.2</v>
      </c>
      <c r="T93" s="2">
        <f t="shared" si="7"/>
        <v>11891.7</v>
      </c>
      <c r="U93" s="2">
        <f t="shared" si="8"/>
        <v>19115.600000000002</v>
      </c>
    </row>
    <row r="94" spans="1:21" x14ac:dyDescent="0.2">
      <c r="A94" t="s">
        <v>98</v>
      </c>
      <c r="B94">
        <v>16</v>
      </c>
      <c r="C94">
        <v>3</v>
      </c>
      <c r="D94">
        <v>59</v>
      </c>
      <c r="E94">
        <v>-9.5413999999999994</v>
      </c>
      <c r="F94">
        <v>20.0914</v>
      </c>
      <c r="H94" s="2">
        <f t="shared" si="9"/>
        <v>59000</v>
      </c>
      <c r="I94" s="2">
        <f t="shared" si="10"/>
        <v>-9541.4</v>
      </c>
      <c r="J94" s="2">
        <f t="shared" si="11"/>
        <v>20091.400000000001</v>
      </c>
      <c r="L94" t="s">
        <v>220</v>
      </c>
      <c r="M94">
        <v>16</v>
      </c>
      <c r="N94">
        <v>3</v>
      </c>
      <c r="O94">
        <v>59</v>
      </c>
      <c r="P94">
        <v>9.5413999999999994</v>
      </c>
      <c r="Q94">
        <v>20.0914</v>
      </c>
      <c r="S94" s="2">
        <f t="shared" si="12"/>
        <v>59000</v>
      </c>
      <c r="T94" s="2">
        <f t="shared" si="7"/>
        <v>9541.4</v>
      </c>
      <c r="U94" s="2">
        <f t="shared" si="8"/>
        <v>20091.400000000001</v>
      </c>
    </row>
    <row r="95" spans="1:21" x14ac:dyDescent="0.2">
      <c r="A95" t="s">
        <v>99</v>
      </c>
      <c r="B95">
        <v>16</v>
      </c>
      <c r="C95">
        <v>4</v>
      </c>
      <c r="D95">
        <v>59</v>
      </c>
      <c r="E95">
        <v>-11.9955</v>
      </c>
      <c r="F95">
        <v>20.5685</v>
      </c>
      <c r="H95" s="2">
        <f t="shared" si="9"/>
        <v>59000</v>
      </c>
      <c r="I95" s="2">
        <f t="shared" si="10"/>
        <v>-11995.5</v>
      </c>
      <c r="J95" s="2">
        <f t="shared" si="11"/>
        <v>20568.5</v>
      </c>
      <c r="L95" t="s">
        <v>221</v>
      </c>
      <c r="M95">
        <v>16</v>
      </c>
      <c r="N95">
        <v>4</v>
      </c>
      <c r="O95">
        <v>59</v>
      </c>
      <c r="P95">
        <v>11.9955</v>
      </c>
      <c r="Q95">
        <v>20.5685</v>
      </c>
      <c r="S95" s="2">
        <f t="shared" si="12"/>
        <v>59000</v>
      </c>
      <c r="T95" s="2">
        <f t="shared" si="7"/>
        <v>11995.5</v>
      </c>
      <c r="U95" s="2">
        <f t="shared" si="8"/>
        <v>20568.5</v>
      </c>
    </row>
    <row r="96" spans="1:21" x14ac:dyDescent="0.2">
      <c r="A96" t="s">
        <v>100</v>
      </c>
      <c r="B96">
        <v>16</v>
      </c>
      <c r="C96">
        <v>5</v>
      </c>
      <c r="D96">
        <v>59.566800000000001</v>
      </c>
      <c r="E96">
        <v>-9.6450999999999993</v>
      </c>
      <c r="F96">
        <v>21.5443</v>
      </c>
      <c r="H96" s="2">
        <f t="shared" si="9"/>
        <v>59566.8</v>
      </c>
      <c r="I96" s="2">
        <f t="shared" si="10"/>
        <v>-9645.0999999999985</v>
      </c>
      <c r="J96" s="2">
        <f t="shared" si="11"/>
        <v>21544.3</v>
      </c>
      <c r="L96" t="s">
        <v>222</v>
      </c>
      <c r="M96">
        <v>16</v>
      </c>
      <c r="N96">
        <v>5</v>
      </c>
      <c r="O96">
        <v>59.566800000000001</v>
      </c>
      <c r="P96">
        <v>9.6450999999999993</v>
      </c>
      <c r="Q96">
        <v>21.5443</v>
      </c>
      <c r="S96" s="2">
        <f t="shared" si="12"/>
        <v>59566.8</v>
      </c>
      <c r="T96" s="2">
        <f t="shared" si="7"/>
        <v>9645.0999999999985</v>
      </c>
      <c r="U96" s="2">
        <f t="shared" si="8"/>
        <v>21544.3</v>
      </c>
    </row>
    <row r="97" spans="1:21" x14ac:dyDescent="0.2">
      <c r="A97" t="s">
        <v>101</v>
      </c>
      <c r="B97">
        <v>16</v>
      </c>
      <c r="C97">
        <v>6</v>
      </c>
      <c r="D97">
        <v>59.566800000000001</v>
      </c>
      <c r="E97">
        <v>-11.355</v>
      </c>
      <c r="F97">
        <v>21.8766</v>
      </c>
      <c r="H97" s="2">
        <f t="shared" si="9"/>
        <v>59566.8</v>
      </c>
      <c r="I97" s="2">
        <f t="shared" si="10"/>
        <v>-11355</v>
      </c>
      <c r="J97" s="2">
        <f t="shared" si="11"/>
        <v>21876.6</v>
      </c>
      <c r="L97" t="s">
        <v>223</v>
      </c>
      <c r="M97">
        <v>16</v>
      </c>
      <c r="N97">
        <v>6</v>
      </c>
      <c r="O97">
        <v>59.566800000000001</v>
      </c>
      <c r="P97">
        <v>11.355</v>
      </c>
      <c r="Q97">
        <v>21.8766</v>
      </c>
      <c r="S97" s="2">
        <f t="shared" si="12"/>
        <v>59566.8</v>
      </c>
      <c r="T97" s="2">
        <f t="shared" si="7"/>
        <v>11355</v>
      </c>
      <c r="U97" s="2">
        <f t="shared" si="8"/>
        <v>21876.6</v>
      </c>
    </row>
    <row r="98" spans="1:21" x14ac:dyDescent="0.2">
      <c r="A98" t="s">
        <v>102</v>
      </c>
      <c r="B98">
        <v>17</v>
      </c>
      <c r="C98">
        <v>1</v>
      </c>
      <c r="D98">
        <v>68.998500000000007</v>
      </c>
      <c r="E98">
        <v>-11.110300000000001</v>
      </c>
      <c r="F98">
        <v>14.129200000000001</v>
      </c>
      <c r="H98" s="2">
        <f t="shared" si="9"/>
        <v>68998.5</v>
      </c>
      <c r="I98" s="2">
        <f t="shared" si="10"/>
        <v>-11110.300000000001</v>
      </c>
      <c r="J98" s="2">
        <f t="shared" si="11"/>
        <v>14129.2</v>
      </c>
      <c r="L98" t="s">
        <v>224</v>
      </c>
      <c r="M98">
        <v>17</v>
      </c>
      <c r="N98">
        <v>1</v>
      </c>
      <c r="O98">
        <v>68.998500000000007</v>
      </c>
      <c r="P98">
        <v>11.110300000000001</v>
      </c>
      <c r="Q98">
        <v>14.129200000000001</v>
      </c>
      <c r="S98" s="2">
        <f t="shared" si="12"/>
        <v>68998.5</v>
      </c>
      <c r="T98" s="2">
        <f t="shared" si="7"/>
        <v>11110.300000000001</v>
      </c>
      <c r="U98" s="2">
        <f t="shared" si="8"/>
        <v>14129.2</v>
      </c>
    </row>
    <row r="99" spans="1:21" x14ac:dyDescent="0.2">
      <c r="A99" t="s">
        <v>103</v>
      </c>
      <c r="B99">
        <v>17</v>
      </c>
      <c r="C99">
        <v>2</v>
      </c>
      <c r="D99">
        <v>68.998500000000007</v>
      </c>
      <c r="E99">
        <v>-12.7743</v>
      </c>
      <c r="F99">
        <v>14.4527</v>
      </c>
      <c r="H99" s="2">
        <f t="shared" si="9"/>
        <v>68998.5</v>
      </c>
      <c r="I99" s="2">
        <f t="shared" si="10"/>
        <v>-12774.300000000001</v>
      </c>
      <c r="J99" s="2">
        <f t="shared" si="11"/>
        <v>14452.7</v>
      </c>
      <c r="L99" t="s">
        <v>225</v>
      </c>
      <c r="M99">
        <v>17</v>
      </c>
      <c r="N99">
        <v>2</v>
      </c>
      <c r="O99">
        <v>68.998500000000007</v>
      </c>
      <c r="P99">
        <v>12.7743</v>
      </c>
      <c r="Q99">
        <v>14.4527</v>
      </c>
      <c r="S99" s="2">
        <f t="shared" si="12"/>
        <v>68998.5</v>
      </c>
      <c r="T99" s="2">
        <f t="shared" si="7"/>
        <v>12774.300000000001</v>
      </c>
      <c r="U99" s="2">
        <f t="shared" si="8"/>
        <v>14452.7</v>
      </c>
    </row>
    <row r="100" spans="1:21" x14ac:dyDescent="0.2">
      <c r="A100" t="s">
        <v>104</v>
      </c>
      <c r="B100">
        <v>17</v>
      </c>
      <c r="C100">
        <v>3</v>
      </c>
      <c r="D100">
        <v>68.998599999999996</v>
      </c>
      <c r="E100">
        <v>-10.4308</v>
      </c>
      <c r="F100">
        <v>17.609500000000001</v>
      </c>
      <c r="H100" s="2">
        <f t="shared" si="9"/>
        <v>68998.599999999991</v>
      </c>
      <c r="I100" s="2">
        <f t="shared" si="10"/>
        <v>-10430.799999999999</v>
      </c>
      <c r="J100" s="2">
        <f t="shared" si="11"/>
        <v>17609.5</v>
      </c>
      <c r="L100" t="s">
        <v>226</v>
      </c>
      <c r="M100">
        <v>17</v>
      </c>
      <c r="N100">
        <v>3</v>
      </c>
      <c r="O100">
        <v>68.998599999999996</v>
      </c>
      <c r="P100">
        <v>10.4308</v>
      </c>
      <c r="Q100">
        <v>17.609500000000001</v>
      </c>
      <c r="S100" s="2">
        <f t="shared" si="12"/>
        <v>68998.599999999991</v>
      </c>
      <c r="T100" s="2">
        <f t="shared" si="7"/>
        <v>10430.799999999999</v>
      </c>
      <c r="U100" s="2">
        <f t="shared" si="8"/>
        <v>17609.5</v>
      </c>
    </row>
    <row r="101" spans="1:21" x14ac:dyDescent="0.2">
      <c r="A101" t="s">
        <v>105</v>
      </c>
      <c r="B101">
        <v>17</v>
      </c>
      <c r="C101">
        <v>4</v>
      </c>
      <c r="D101">
        <v>68.998599999999996</v>
      </c>
      <c r="E101">
        <v>-12.1006</v>
      </c>
      <c r="F101">
        <v>17.934100000000001</v>
      </c>
      <c r="H101" s="2">
        <f t="shared" si="9"/>
        <v>68998.599999999991</v>
      </c>
      <c r="I101" s="2">
        <f t="shared" si="10"/>
        <v>-12100.6</v>
      </c>
      <c r="J101" s="2">
        <f t="shared" si="11"/>
        <v>17934.100000000002</v>
      </c>
      <c r="L101" t="s">
        <v>227</v>
      </c>
      <c r="M101">
        <v>17</v>
      </c>
      <c r="N101">
        <v>4</v>
      </c>
      <c r="O101">
        <v>68.998599999999996</v>
      </c>
      <c r="P101">
        <v>12.1006</v>
      </c>
      <c r="Q101">
        <v>17.934100000000001</v>
      </c>
      <c r="S101" s="2">
        <f t="shared" si="12"/>
        <v>68998.599999999991</v>
      </c>
      <c r="T101" s="2">
        <f t="shared" si="7"/>
        <v>12100.6</v>
      </c>
      <c r="U101" s="2">
        <f t="shared" si="8"/>
        <v>17934.100000000002</v>
      </c>
    </row>
    <row r="102" spans="1:21" x14ac:dyDescent="0.2">
      <c r="A102" t="s">
        <v>106</v>
      </c>
      <c r="B102">
        <v>17</v>
      </c>
      <c r="C102">
        <v>5</v>
      </c>
      <c r="D102">
        <v>69</v>
      </c>
      <c r="E102">
        <v>-10.375500000000001</v>
      </c>
      <c r="F102">
        <v>15.8002</v>
      </c>
      <c r="H102" s="2">
        <f t="shared" si="9"/>
        <v>69000</v>
      </c>
      <c r="I102" s="2">
        <f t="shared" si="10"/>
        <v>-10375.5</v>
      </c>
      <c r="J102" s="2">
        <f t="shared" si="11"/>
        <v>15800.2</v>
      </c>
      <c r="L102" t="s">
        <v>228</v>
      </c>
      <c r="M102">
        <v>17</v>
      </c>
      <c r="N102">
        <v>5</v>
      </c>
      <c r="O102">
        <v>69</v>
      </c>
      <c r="P102">
        <v>10.375500000000001</v>
      </c>
      <c r="Q102">
        <v>15.8002</v>
      </c>
      <c r="S102" s="2">
        <f t="shared" si="12"/>
        <v>69000</v>
      </c>
      <c r="T102" s="2">
        <f t="shared" si="7"/>
        <v>10375.5</v>
      </c>
      <c r="U102" s="2">
        <f t="shared" si="8"/>
        <v>15800.2</v>
      </c>
    </row>
    <row r="103" spans="1:21" x14ac:dyDescent="0.2">
      <c r="A103" t="s">
        <v>107</v>
      </c>
      <c r="B103">
        <v>17</v>
      </c>
      <c r="C103">
        <v>6</v>
      </c>
      <c r="D103">
        <v>69</v>
      </c>
      <c r="E103">
        <v>-12.829599999999999</v>
      </c>
      <c r="F103">
        <v>16.2773</v>
      </c>
      <c r="H103" s="2">
        <f t="shared" si="9"/>
        <v>69000</v>
      </c>
      <c r="I103" s="2">
        <f t="shared" si="10"/>
        <v>-12829.599999999999</v>
      </c>
      <c r="J103" s="2">
        <f t="shared" si="11"/>
        <v>16277.300000000001</v>
      </c>
      <c r="L103" t="s">
        <v>229</v>
      </c>
      <c r="M103">
        <v>17</v>
      </c>
      <c r="N103">
        <v>6</v>
      </c>
      <c r="O103">
        <v>69</v>
      </c>
      <c r="P103">
        <v>12.829599999999999</v>
      </c>
      <c r="Q103">
        <v>16.2773</v>
      </c>
      <c r="S103" s="2">
        <f t="shared" si="12"/>
        <v>69000</v>
      </c>
      <c r="T103" s="2">
        <f t="shared" si="7"/>
        <v>12829.599999999999</v>
      </c>
      <c r="U103" s="2">
        <f t="shared" si="8"/>
        <v>16277.300000000001</v>
      </c>
    </row>
    <row r="104" spans="1:21" x14ac:dyDescent="0.2">
      <c r="A104" t="s">
        <v>108</v>
      </c>
      <c r="B104">
        <v>18</v>
      </c>
      <c r="C104">
        <v>1</v>
      </c>
      <c r="D104">
        <v>76.2209</v>
      </c>
      <c r="E104">
        <v>-11.8301</v>
      </c>
      <c r="F104">
        <v>10.510199999999999</v>
      </c>
      <c r="H104" s="2">
        <f t="shared" si="9"/>
        <v>76220.899999999994</v>
      </c>
      <c r="I104" s="2">
        <f t="shared" si="10"/>
        <v>-11830.1</v>
      </c>
      <c r="J104" s="2">
        <f t="shared" si="11"/>
        <v>10510.199999999999</v>
      </c>
      <c r="L104" t="s">
        <v>230</v>
      </c>
      <c r="M104">
        <v>18</v>
      </c>
      <c r="N104">
        <v>1</v>
      </c>
      <c r="O104">
        <v>76.2209</v>
      </c>
      <c r="P104">
        <v>11.8301</v>
      </c>
      <c r="Q104">
        <v>10.510199999999999</v>
      </c>
      <c r="S104" s="2">
        <f t="shared" si="12"/>
        <v>76220.899999999994</v>
      </c>
      <c r="T104" s="2">
        <f t="shared" si="7"/>
        <v>11830.1</v>
      </c>
      <c r="U104" s="2">
        <f t="shared" si="8"/>
        <v>10510.199999999999</v>
      </c>
    </row>
    <row r="105" spans="1:21" x14ac:dyDescent="0.2">
      <c r="A105" t="s">
        <v>109</v>
      </c>
      <c r="B105">
        <v>18</v>
      </c>
      <c r="C105">
        <v>2</v>
      </c>
      <c r="D105">
        <v>76.2209</v>
      </c>
      <c r="E105">
        <v>-13.4626</v>
      </c>
      <c r="F105">
        <v>10.8276</v>
      </c>
      <c r="H105" s="2">
        <f t="shared" si="9"/>
        <v>76220.899999999994</v>
      </c>
      <c r="I105" s="2">
        <f t="shared" si="10"/>
        <v>-13462.6</v>
      </c>
      <c r="J105" s="2">
        <f t="shared" si="11"/>
        <v>10827.6</v>
      </c>
      <c r="L105" t="s">
        <v>231</v>
      </c>
      <c r="M105">
        <v>18</v>
      </c>
      <c r="N105">
        <v>2</v>
      </c>
      <c r="O105">
        <v>76.2209</v>
      </c>
      <c r="P105">
        <v>13.4626</v>
      </c>
      <c r="Q105">
        <v>10.8276</v>
      </c>
      <c r="S105" s="2">
        <f t="shared" si="12"/>
        <v>76220.899999999994</v>
      </c>
      <c r="T105" s="2">
        <f t="shared" si="7"/>
        <v>13462.6</v>
      </c>
      <c r="U105" s="2">
        <f t="shared" si="8"/>
        <v>10827.6</v>
      </c>
    </row>
    <row r="106" spans="1:21" x14ac:dyDescent="0.2">
      <c r="A106" t="s">
        <v>110</v>
      </c>
      <c r="B106">
        <v>18</v>
      </c>
      <c r="C106">
        <v>3</v>
      </c>
      <c r="D106">
        <v>77</v>
      </c>
      <c r="E106">
        <v>-11.136699999999999</v>
      </c>
      <c r="F106">
        <v>11.884499999999999</v>
      </c>
      <c r="H106" s="2">
        <f t="shared" si="9"/>
        <v>77000</v>
      </c>
      <c r="I106" s="2">
        <f t="shared" si="10"/>
        <v>-11136.699999999999</v>
      </c>
      <c r="J106" s="2">
        <f t="shared" si="11"/>
        <v>11884.5</v>
      </c>
      <c r="L106" t="s">
        <v>232</v>
      </c>
      <c r="M106">
        <v>18</v>
      </c>
      <c r="N106">
        <v>3</v>
      </c>
      <c r="O106">
        <v>77</v>
      </c>
      <c r="P106">
        <v>11.136699999999999</v>
      </c>
      <c r="Q106">
        <v>11.884499999999999</v>
      </c>
      <c r="S106" s="2">
        <f t="shared" si="12"/>
        <v>77000</v>
      </c>
      <c r="T106" s="2">
        <f t="shared" si="7"/>
        <v>11136.699999999999</v>
      </c>
      <c r="U106" s="2">
        <f t="shared" si="8"/>
        <v>11884.5</v>
      </c>
    </row>
    <row r="107" spans="1:21" x14ac:dyDescent="0.2">
      <c r="A107" t="s">
        <v>111</v>
      </c>
      <c r="B107">
        <v>18</v>
      </c>
      <c r="C107">
        <v>4</v>
      </c>
      <c r="D107">
        <v>77</v>
      </c>
      <c r="E107">
        <v>-13.5907</v>
      </c>
      <c r="F107">
        <v>12.361499999999999</v>
      </c>
      <c r="H107" s="2">
        <f t="shared" si="9"/>
        <v>77000</v>
      </c>
      <c r="I107" s="2">
        <f t="shared" si="10"/>
        <v>-13590.7</v>
      </c>
      <c r="J107" s="2">
        <f t="shared" si="11"/>
        <v>12361.5</v>
      </c>
      <c r="L107" t="s">
        <v>233</v>
      </c>
      <c r="M107">
        <v>18</v>
      </c>
      <c r="N107">
        <v>4</v>
      </c>
      <c r="O107">
        <v>77</v>
      </c>
      <c r="P107">
        <v>13.5907</v>
      </c>
      <c r="Q107">
        <v>12.361499999999999</v>
      </c>
      <c r="S107" s="2">
        <f t="shared" si="12"/>
        <v>77000</v>
      </c>
      <c r="T107" s="2">
        <f t="shared" si="7"/>
        <v>13590.7</v>
      </c>
      <c r="U107" s="2">
        <f t="shared" si="8"/>
        <v>12361.5</v>
      </c>
    </row>
    <row r="108" spans="1:21" x14ac:dyDescent="0.2">
      <c r="A108" t="s">
        <v>112</v>
      </c>
      <c r="B108">
        <v>18</v>
      </c>
      <c r="C108">
        <v>5</v>
      </c>
      <c r="D108">
        <v>77.7791</v>
      </c>
      <c r="E108">
        <v>-11.264799999999999</v>
      </c>
      <c r="F108">
        <v>13.4185</v>
      </c>
      <c r="H108" s="2">
        <f t="shared" si="9"/>
        <v>77779.100000000006</v>
      </c>
      <c r="I108" s="2">
        <f t="shared" si="10"/>
        <v>-11264.8</v>
      </c>
      <c r="J108" s="2">
        <f t="shared" si="11"/>
        <v>13418.5</v>
      </c>
      <c r="L108" t="s">
        <v>234</v>
      </c>
      <c r="M108">
        <v>18</v>
      </c>
      <c r="N108">
        <v>5</v>
      </c>
      <c r="O108">
        <v>77.7791</v>
      </c>
      <c r="P108">
        <v>11.264799999999999</v>
      </c>
      <c r="Q108">
        <v>13.4185</v>
      </c>
      <c r="S108" s="2">
        <f t="shared" si="12"/>
        <v>77779.100000000006</v>
      </c>
      <c r="T108" s="2">
        <f t="shared" si="7"/>
        <v>11264.8</v>
      </c>
      <c r="U108" s="2">
        <f t="shared" si="8"/>
        <v>13418.5</v>
      </c>
    </row>
    <row r="109" spans="1:21" x14ac:dyDescent="0.2">
      <c r="A109" t="s">
        <v>113</v>
      </c>
      <c r="B109">
        <v>18</v>
      </c>
      <c r="C109">
        <v>6</v>
      </c>
      <c r="D109">
        <v>77.7791</v>
      </c>
      <c r="E109">
        <v>-12.8973</v>
      </c>
      <c r="F109">
        <v>13.735799999999999</v>
      </c>
      <c r="H109" s="2">
        <f t="shared" si="9"/>
        <v>77779.100000000006</v>
      </c>
      <c r="I109" s="2">
        <f t="shared" si="10"/>
        <v>-12897.3</v>
      </c>
      <c r="J109" s="2">
        <f t="shared" si="11"/>
        <v>13735.8</v>
      </c>
      <c r="L109" t="s">
        <v>235</v>
      </c>
      <c r="M109">
        <v>18</v>
      </c>
      <c r="N109">
        <v>6</v>
      </c>
      <c r="O109">
        <v>77.7791</v>
      </c>
      <c r="P109">
        <v>12.8973</v>
      </c>
      <c r="Q109">
        <v>13.735799999999999</v>
      </c>
      <c r="S109" s="2">
        <f t="shared" si="12"/>
        <v>77779.100000000006</v>
      </c>
      <c r="T109" s="2">
        <f t="shared" si="7"/>
        <v>12897.3</v>
      </c>
      <c r="U109" s="2">
        <f t="shared" si="8"/>
        <v>13735.8</v>
      </c>
    </row>
    <row r="110" spans="1:21" x14ac:dyDescent="0.2">
      <c r="A110" t="s">
        <v>114</v>
      </c>
      <c r="B110">
        <v>19</v>
      </c>
      <c r="C110">
        <v>1</v>
      </c>
      <c r="D110">
        <v>82.148600000000002</v>
      </c>
      <c r="E110">
        <v>-12.4724</v>
      </c>
      <c r="F110">
        <v>7.2743000000000002</v>
      </c>
      <c r="H110" s="2">
        <f t="shared" si="9"/>
        <v>82148.600000000006</v>
      </c>
      <c r="I110" s="2">
        <f t="shared" si="10"/>
        <v>-12472.4</v>
      </c>
      <c r="J110" s="2">
        <f t="shared" si="11"/>
        <v>7274.3</v>
      </c>
      <c r="L110" t="s">
        <v>236</v>
      </c>
      <c r="M110">
        <v>19</v>
      </c>
      <c r="N110">
        <v>1</v>
      </c>
      <c r="O110">
        <v>82.148600000000002</v>
      </c>
      <c r="P110">
        <v>12.4724</v>
      </c>
      <c r="Q110">
        <v>7.2743000000000002</v>
      </c>
      <c r="S110" s="2">
        <f t="shared" si="12"/>
        <v>82148.600000000006</v>
      </c>
      <c r="T110" s="2">
        <f t="shared" si="7"/>
        <v>12472.4</v>
      </c>
      <c r="U110" s="2">
        <f t="shared" si="8"/>
        <v>7274.3</v>
      </c>
    </row>
    <row r="111" spans="1:21" x14ac:dyDescent="0.2">
      <c r="A111" t="s">
        <v>115</v>
      </c>
      <c r="B111">
        <v>19</v>
      </c>
      <c r="C111">
        <v>2</v>
      </c>
      <c r="D111">
        <v>82.148600000000002</v>
      </c>
      <c r="E111">
        <v>-14.0792</v>
      </c>
      <c r="F111">
        <v>7.5867000000000004</v>
      </c>
      <c r="H111" s="2">
        <f t="shared" si="9"/>
        <v>82148.600000000006</v>
      </c>
      <c r="I111" s="2">
        <f t="shared" si="10"/>
        <v>-14079.2</v>
      </c>
      <c r="J111" s="2">
        <f t="shared" si="11"/>
        <v>7586.7000000000007</v>
      </c>
      <c r="L111" t="s">
        <v>237</v>
      </c>
      <c r="M111">
        <v>19</v>
      </c>
      <c r="N111">
        <v>2</v>
      </c>
      <c r="O111">
        <v>82.148600000000002</v>
      </c>
      <c r="P111">
        <v>14.0792</v>
      </c>
      <c r="Q111">
        <v>7.5867000000000004</v>
      </c>
      <c r="S111" s="2">
        <f t="shared" si="12"/>
        <v>82148.600000000006</v>
      </c>
      <c r="T111" s="2">
        <f t="shared" si="7"/>
        <v>14079.2</v>
      </c>
      <c r="U111" s="2">
        <f t="shared" si="8"/>
        <v>7586.7000000000007</v>
      </c>
    </row>
    <row r="112" spans="1:21" x14ac:dyDescent="0.2">
      <c r="A112" t="s">
        <v>116</v>
      </c>
      <c r="B112">
        <v>19</v>
      </c>
      <c r="C112">
        <v>3</v>
      </c>
      <c r="D112">
        <v>83</v>
      </c>
      <c r="E112">
        <v>-11.7623</v>
      </c>
      <c r="F112">
        <v>8.6661000000000001</v>
      </c>
      <c r="H112" s="2">
        <f t="shared" si="9"/>
        <v>83000</v>
      </c>
      <c r="I112" s="2">
        <f t="shared" si="10"/>
        <v>-11762.3</v>
      </c>
      <c r="J112" s="2">
        <f t="shared" si="11"/>
        <v>8666.1</v>
      </c>
      <c r="L112" t="s">
        <v>238</v>
      </c>
      <c r="M112">
        <v>19</v>
      </c>
      <c r="N112">
        <v>3</v>
      </c>
      <c r="O112">
        <v>83</v>
      </c>
      <c r="P112">
        <v>11.7623</v>
      </c>
      <c r="Q112">
        <v>8.6661000000000001</v>
      </c>
      <c r="S112" s="2">
        <f t="shared" si="12"/>
        <v>83000</v>
      </c>
      <c r="T112" s="2">
        <f t="shared" si="7"/>
        <v>11762.3</v>
      </c>
      <c r="U112" s="2">
        <f t="shared" si="8"/>
        <v>8666.1</v>
      </c>
    </row>
    <row r="113" spans="1:21" x14ac:dyDescent="0.2">
      <c r="A113" t="s">
        <v>117</v>
      </c>
      <c r="B113">
        <v>19</v>
      </c>
      <c r="C113">
        <v>4</v>
      </c>
      <c r="D113">
        <v>83</v>
      </c>
      <c r="E113">
        <v>-14.2163</v>
      </c>
      <c r="F113">
        <v>9.1431000000000004</v>
      </c>
      <c r="H113" s="2">
        <f t="shared" si="9"/>
        <v>83000</v>
      </c>
      <c r="I113" s="2">
        <f t="shared" si="10"/>
        <v>-14216.300000000001</v>
      </c>
      <c r="J113" s="2">
        <f t="shared" si="11"/>
        <v>9143.1</v>
      </c>
      <c r="L113" t="s">
        <v>239</v>
      </c>
      <c r="M113">
        <v>19</v>
      </c>
      <c r="N113">
        <v>4</v>
      </c>
      <c r="O113">
        <v>83</v>
      </c>
      <c r="P113">
        <v>14.2163</v>
      </c>
      <c r="Q113">
        <v>9.1431000000000004</v>
      </c>
      <c r="S113" s="2">
        <f t="shared" si="12"/>
        <v>83000</v>
      </c>
      <c r="T113" s="2">
        <f t="shared" si="7"/>
        <v>14216.300000000001</v>
      </c>
      <c r="U113" s="2">
        <f t="shared" si="8"/>
        <v>9143.1</v>
      </c>
    </row>
    <row r="114" spans="1:21" x14ac:dyDescent="0.2">
      <c r="A114" t="s">
        <v>118</v>
      </c>
      <c r="B114">
        <v>19</v>
      </c>
      <c r="C114">
        <v>5</v>
      </c>
      <c r="D114">
        <v>83.851399999999998</v>
      </c>
      <c r="E114">
        <v>-11.8993</v>
      </c>
      <c r="F114">
        <v>10.2226</v>
      </c>
      <c r="H114" s="2">
        <f t="shared" si="9"/>
        <v>83851.399999999994</v>
      </c>
      <c r="I114" s="2">
        <f t="shared" si="10"/>
        <v>-11899.300000000001</v>
      </c>
      <c r="J114" s="2">
        <f t="shared" si="11"/>
        <v>10222.6</v>
      </c>
      <c r="L114" t="s">
        <v>240</v>
      </c>
      <c r="M114">
        <v>19</v>
      </c>
      <c r="N114">
        <v>5</v>
      </c>
      <c r="O114">
        <v>83.851399999999998</v>
      </c>
      <c r="P114">
        <v>11.8993</v>
      </c>
      <c r="Q114">
        <v>10.2226</v>
      </c>
      <c r="S114" s="2">
        <f t="shared" si="12"/>
        <v>83851.399999999994</v>
      </c>
      <c r="T114" s="2">
        <f t="shared" si="7"/>
        <v>11899.300000000001</v>
      </c>
      <c r="U114" s="2">
        <f t="shared" si="8"/>
        <v>10222.6</v>
      </c>
    </row>
    <row r="115" spans="1:21" x14ac:dyDescent="0.2">
      <c r="A115" t="s">
        <v>119</v>
      </c>
      <c r="B115">
        <v>19</v>
      </c>
      <c r="C115">
        <v>6</v>
      </c>
      <c r="D115">
        <v>83.851399999999998</v>
      </c>
      <c r="E115">
        <v>-13.5061</v>
      </c>
      <c r="F115">
        <v>10.5349</v>
      </c>
      <c r="H115" s="2">
        <f t="shared" si="9"/>
        <v>83851.399999999994</v>
      </c>
      <c r="I115" s="2">
        <f t="shared" si="10"/>
        <v>-13506.1</v>
      </c>
      <c r="J115" s="2">
        <f t="shared" si="11"/>
        <v>10534.9</v>
      </c>
      <c r="L115" t="s">
        <v>241</v>
      </c>
      <c r="M115">
        <v>19</v>
      </c>
      <c r="N115">
        <v>6</v>
      </c>
      <c r="O115">
        <v>83.851399999999998</v>
      </c>
      <c r="P115">
        <v>13.5061</v>
      </c>
      <c r="Q115">
        <v>10.5349</v>
      </c>
      <c r="S115" s="2">
        <f t="shared" si="12"/>
        <v>83851.399999999994</v>
      </c>
      <c r="T115" s="2">
        <f t="shared" si="7"/>
        <v>13506.1</v>
      </c>
      <c r="U115" s="2">
        <f t="shared" si="8"/>
        <v>10534.9</v>
      </c>
    </row>
    <row r="116" spans="1:21" x14ac:dyDescent="0.2">
      <c r="A116" t="s">
        <v>120</v>
      </c>
      <c r="B116">
        <v>20</v>
      </c>
      <c r="C116">
        <v>1</v>
      </c>
      <c r="D116">
        <v>92.027500000000003</v>
      </c>
      <c r="E116">
        <v>-13.6464</v>
      </c>
      <c r="F116">
        <v>1.3493999999999999</v>
      </c>
      <c r="H116" s="2">
        <f t="shared" si="9"/>
        <v>92027.5</v>
      </c>
      <c r="I116" s="2">
        <f t="shared" si="10"/>
        <v>-13646.4</v>
      </c>
      <c r="J116" s="2">
        <f t="shared" si="11"/>
        <v>1349.3999999999999</v>
      </c>
      <c r="L116" t="s">
        <v>242</v>
      </c>
      <c r="M116">
        <v>20</v>
      </c>
      <c r="N116">
        <v>1</v>
      </c>
      <c r="O116">
        <v>92.027500000000003</v>
      </c>
      <c r="P116">
        <v>13.6464</v>
      </c>
      <c r="Q116">
        <v>1.3493999999999999</v>
      </c>
      <c r="S116" s="2">
        <f t="shared" si="12"/>
        <v>92027.5</v>
      </c>
      <c r="T116" s="2">
        <f t="shared" si="7"/>
        <v>13646.4</v>
      </c>
      <c r="U116" s="2">
        <f t="shared" si="8"/>
        <v>1349.3999999999999</v>
      </c>
    </row>
    <row r="117" spans="1:21" x14ac:dyDescent="0.2">
      <c r="A117" t="s">
        <v>121</v>
      </c>
      <c r="B117">
        <v>20</v>
      </c>
      <c r="C117">
        <v>2</v>
      </c>
      <c r="D117">
        <v>92.027500000000003</v>
      </c>
      <c r="E117">
        <v>-15.2103</v>
      </c>
      <c r="F117">
        <v>1.6534</v>
      </c>
      <c r="H117" s="2">
        <f t="shared" si="9"/>
        <v>92027.5</v>
      </c>
      <c r="I117" s="2">
        <f t="shared" si="10"/>
        <v>-15210.3</v>
      </c>
      <c r="J117" s="2">
        <f t="shared" si="11"/>
        <v>1653.4</v>
      </c>
      <c r="L117" t="s">
        <v>243</v>
      </c>
      <c r="M117">
        <v>20</v>
      </c>
      <c r="N117">
        <v>2</v>
      </c>
      <c r="O117">
        <v>92.027500000000003</v>
      </c>
      <c r="P117">
        <v>15.2103</v>
      </c>
      <c r="Q117">
        <v>1.6534</v>
      </c>
      <c r="S117" s="2">
        <f t="shared" si="12"/>
        <v>92027.5</v>
      </c>
      <c r="T117" s="2">
        <f t="shared" si="7"/>
        <v>15210.3</v>
      </c>
      <c r="U117" s="2">
        <f t="shared" si="8"/>
        <v>1653.4</v>
      </c>
    </row>
    <row r="118" spans="1:21" x14ac:dyDescent="0.2">
      <c r="A118" t="s">
        <v>122</v>
      </c>
      <c r="B118">
        <v>20</v>
      </c>
      <c r="C118">
        <v>3</v>
      </c>
      <c r="D118">
        <v>93</v>
      </c>
      <c r="E118">
        <v>-12.9092</v>
      </c>
      <c r="F118">
        <v>2.7656999999999998</v>
      </c>
      <c r="H118" s="2">
        <f t="shared" si="9"/>
        <v>93000</v>
      </c>
      <c r="I118" s="2">
        <f t="shared" si="10"/>
        <v>-12909.2</v>
      </c>
      <c r="J118" s="2">
        <f t="shared" si="11"/>
        <v>2765.7</v>
      </c>
      <c r="L118" t="s">
        <v>244</v>
      </c>
      <c r="M118">
        <v>20</v>
      </c>
      <c r="N118">
        <v>3</v>
      </c>
      <c r="O118">
        <v>93</v>
      </c>
      <c r="P118">
        <v>12.9092</v>
      </c>
      <c r="Q118">
        <v>2.7656999999999998</v>
      </c>
      <c r="S118" s="2">
        <f t="shared" si="12"/>
        <v>93000</v>
      </c>
      <c r="T118" s="2">
        <f t="shared" si="7"/>
        <v>12909.2</v>
      </c>
      <c r="U118" s="2">
        <f t="shared" si="8"/>
        <v>2765.7</v>
      </c>
    </row>
    <row r="119" spans="1:21" x14ac:dyDescent="0.2">
      <c r="A119" t="s">
        <v>123</v>
      </c>
      <c r="B119">
        <v>20</v>
      </c>
      <c r="C119">
        <v>4</v>
      </c>
      <c r="D119">
        <v>93</v>
      </c>
      <c r="E119">
        <v>-15.363200000000001</v>
      </c>
      <c r="F119">
        <v>3.2427000000000001</v>
      </c>
      <c r="H119" s="2">
        <f t="shared" si="9"/>
        <v>93000</v>
      </c>
      <c r="I119" s="2">
        <f t="shared" si="10"/>
        <v>-15363.2</v>
      </c>
      <c r="J119" s="2">
        <f t="shared" si="11"/>
        <v>3242.7000000000003</v>
      </c>
      <c r="L119" t="s">
        <v>245</v>
      </c>
      <c r="M119">
        <v>20</v>
      </c>
      <c r="N119">
        <v>4</v>
      </c>
      <c r="O119">
        <v>93</v>
      </c>
      <c r="P119">
        <v>15.363200000000001</v>
      </c>
      <c r="Q119">
        <v>3.2427000000000001</v>
      </c>
      <c r="S119" s="2">
        <f t="shared" si="12"/>
        <v>93000</v>
      </c>
      <c r="T119" s="2">
        <f t="shared" si="7"/>
        <v>15363.2</v>
      </c>
      <c r="U119" s="2">
        <f t="shared" si="8"/>
        <v>3242.7000000000003</v>
      </c>
    </row>
    <row r="120" spans="1:21" x14ac:dyDescent="0.2">
      <c r="A120" t="s">
        <v>124</v>
      </c>
      <c r="B120">
        <v>20</v>
      </c>
      <c r="C120">
        <v>5</v>
      </c>
      <c r="D120">
        <v>93.972499999999997</v>
      </c>
      <c r="E120">
        <v>-13.062200000000001</v>
      </c>
      <c r="F120">
        <v>4.3551000000000002</v>
      </c>
      <c r="H120" s="2">
        <f t="shared" si="9"/>
        <v>93972.5</v>
      </c>
      <c r="I120" s="2">
        <f t="shared" si="10"/>
        <v>-13062.2</v>
      </c>
      <c r="J120" s="2">
        <f t="shared" si="11"/>
        <v>4355.1000000000004</v>
      </c>
      <c r="L120" t="s">
        <v>246</v>
      </c>
      <c r="M120">
        <v>20</v>
      </c>
      <c r="N120">
        <v>5</v>
      </c>
      <c r="O120">
        <v>93.972499999999997</v>
      </c>
      <c r="P120">
        <v>13.062200000000001</v>
      </c>
      <c r="Q120">
        <v>4.3551000000000002</v>
      </c>
      <c r="S120" s="2">
        <f t="shared" si="12"/>
        <v>93972.5</v>
      </c>
      <c r="T120" s="2">
        <f t="shared" si="7"/>
        <v>13062.2</v>
      </c>
      <c r="U120" s="2">
        <f t="shared" si="8"/>
        <v>4355.1000000000004</v>
      </c>
    </row>
    <row r="121" spans="1:21" x14ac:dyDescent="0.2">
      <c r="A121" t="s">
        <v>125</v>
      </c>
      <c r="B121">
        <v>20</v>
      </c>
      <c r="C121">
        <v>6</v>
      </c>
      <c r="D121">
        <v>93.972499999999997</v>
      </c>
      <c r="E121">
        <v>-14.625999999999999</v>
      </c>
      <c r="F121">
        <v>4.6590999999999996</v>
      </c>
      <c r="H121" s="2">
        <f t="shared" si="9"/>
        <v>93972.5</v>
      </c>
      <c r="I121" s="2">
        <f t="shared" si="10"/>
        <v>-14626</v>
      </c>
      <c r="J121" s="2">
        <f t="shared" si="11"/>
        <v>4659.0999999999995</v>
      </c>
      <c r="L121" t="s">
        <v>247</v>
      </c>
      <c r="M121">
        <v>20</v>
      </c>
      <c r="N121">
        <v>6</v>
      </c>
      <c r="O121">
        <v>93.972499999999997</v>
      </c>
      <c r="P121">
        <v>14.625999999999999</v>
      </c>
      <c r="Q121">
        <v>4.6590999999999996</v>
      </c>
      <c r="S121" s="2">
        <f t="shared" si="12"/>
        <v>93972.5</v>
      </c>
      <c r="T121" s="2">
        <f t="shared" si="7"/>
        <v>14626</v>
      </c>
      <c r="U121" s="2">
        <f t="shared" si="8"/>
        <v>4659.0999999999995</v>
      </c>
    </row>
    <row r="132" spans="8:21" x14ac:dyDescent="0.2">
      <c r="H132">
        <v>-93972.5</v>
      </c>
      <c r="I132">
        <v>-13062.2</v>
      </c>
      <c r="J132">
        <v>4355.1000000000004</v>
      </c>
      <c r="S132">
        <v>-93972.5</v>
      </c>
      <c r="T132">
        <v>13062.2</v>
      </c>
      <c r="U132">
        <v>4355.1000000000004</v>
      </c>
    </row>
    <row r="133" spans="8:21" x14ac:dyDescent="0.2">
      <c r="H133">
        <v>-93972.5</v>
      </c>
      <c r="I133">
        <v>-14626</v>
      </c>
      <c r="J133">
        <v>4659.0999999999995</v>
      </c>
      <c r="S133">
        <v>-93972.5</v>
      </c>
      <c r="T133">
        <v>14626</v>
      </c>
      <c r="U133">
        <v>4659.0999999999995</v>
      </c>
    </row>
    <row r="134" spans="8:21" x14ac:dyDescent="0.2">
      <c r="H134">
        <v>-93000</v>
      </c>
      <c r="I134">
        <v>-12909.2</v>
      </c>
      <c r="J134">
        <v>2765.7</v>
      </c>
      <c r="S134">
        <v>-93000</v>
      </c>
      <c r="T134">
        <v>12909.2</v>
      </c>
      <c r="U134">
        <v>2765.7</v>
      </c>
    </row>
    <row r="135" spans="8:21" x14ac:dyDescent="0.2">
      <c r="H135">
        <v>-93000</v>
      </c>
      <c r="I135">
        <v>-15363.2</v>
      </c>
      <c r="J135">
        <v>3242.7000000000003</v>
      </c>
      <c r="S135">
        <v>-93000</v>
      </c>
      <c r="T135">
        <v>15363.2</v>
      </c>
      <c r="U135">
        <v>3242.7000000000003</v>
      </c>
    </row>
    <row r="136" spans="8:21" x14ac:dyDescent="0.2">
      <c r="H136">
        <v>-92027.5</v>
      </c>
      <c r="I136">
        <v>-13646.4</v>
      </c>
      <c r="J136">
        <v>1349.3999999999999</v>
      </c>
      <c r="S136">
        <v>-92027.5</v>
      </c>
      <c r="T136">
        <v>13646.4</v>
      </c>
      <c r="U136">
        <v>1349.3999999999999</v>
      </c>
    </row>
    <row r="137" spans="8:21" x14ac:dyDescent="0.2">
      <c r="H137">
        <v>-92027.5</v>
      </c>
      <c r="I137">
        <v>-15210.3</v>
      </c>
      <c r="J137">
        <v>1653.4</v>
      </c>
      <c r="S137">
        <v>-92027.5</v>
      </c>
      <c r="T137">
        <v>15210.3</v>
      </c>
      <c r="U137">
        <v>1653.4</v>
      </c>
    </row>
    <row r="138" spans="8:21" x14ac:dyDescent="0.2">
      <c r="H138">
        <v>-83851.399999999994</v>
      </c>
      <c r="I138">
        <v>-11899.300000000001</v>
      </c>
      <c r="J138">
        <v>10222.6</v>
      </c>
      <c r="S138">
        <v>-83851.399999999994</v>
      </c>
      <c r="T138">
        <v>11899.300000000001</v>
      </c>
      <c r="U138">
        <v>10222.6</v>
      </c>
    </row>
    <row r="139" spans="8:21" x14ac:dyDescent="0.2">
      <c r="H139">
        <v>-83851.399999999994</v>
      </c>
      <c r="I139">
        <v>-13506.1</v>
      </c>
      <c r="J139">
        <v>10534.9</v>
      </c>
      <c r="S139">
        <v>-83851.399999999994</v>
      </c>
      <c r="T139">
        <v>13506.1</v>
      </c>
      <c r="U139">
        <v>10534.9</v>
      </c>
    </row>
    <row r="140" spans="8:21" x14ac:dyDescent="0.2">
      <c r="H140">
        <v>-83000</v>
      </c>
      <c r="I140">
        <v>-11762.3</v>
      </c>
      <c r="J140">
        <v>8666.1</v>
      </c>
      <c r="S140">
        <v>-83000</v>
      </c>
      <c r="T140">
        <v>11762.3</v>
      </c>
      <c r="U140">
        <v>8666.1</v>
      </c>
    </row>
    <row r="141" spans="8:21" x14ac:dyDescent="0.2">
      <c r="H141">
        <v>-83000</v>
      </c>
      <c r="I141">
        <v>-14216.300000000001</v>
      </c>
      <c r="J141">
        <v>9143.1</v>
      </c>
      <c r="S141">
        <v>-83000</v>
      </c>
      <c r="T141">
        <v>14216.300000000001</v>
      </c>
      <c r="U141">
        <v>9143.1</v>
      </c>
    </row>
    <row r="142" spans="8:21" x14ac:dyDescent="0.2">
      <c r="H142">
        <v>-82148.600000000006</v>
      </c>
      <c r="I142">
        <v>-12472.4</v>
      </c>
      <c r="J142">
        <v>7274.3</v>
      </c>
      <c r="S142">
        <v>-82148.600000000006</v>
      </c>
      <c r="T142">
        <v>12472.4</v>
      </c>
      <c r="U142">
        <v>7274.3</v>
      </c>
    </row>
    <row r="143" spans="8:21" x14ac:dyDescent="0.2">
      <c r="H143">
        <v>-82148.600000000006</v>
      </c>
      <c r="I143">
        <v>-14079.2</v>
      </c>
      <c r="J143">
        <v>7586.7000000000007</v>
      </c>
      <c r="S143">
        <v>-82148.600000000006</v>
      </c>
      <c r="T143">
        <v>14079.2</v>
      </c>
      <c r="U143">
        <v>7586.7000000000007</v>
      </c>
    </row>
    <row r="144" spans="8:21" x14ac:dyDescent="0.2">
      <c r="H144">
        <v>-77779.100000000006</v>
      </c>
      <c r="I144">
        <v>-11264.8</v>
      </c>
      <c r="J144">
        <v>13418.5</v>
      </c>
      <c r="S144">
        <v>-77779.100000000006</v>
      </c>
      <c r="T144">
        <v>11264.8</v>
      </c>
      <c r="U144">
        <v>13418.5</v>
      </c>
    </row>
    <row r="145" spans="8:21" x14ac:dyDescent="0.2">
      <c r="H145">
        <v>-77779.100000000006</v>
      </c>
      <c r="I145">
        <v>-12897.3</v>
      </c>
      <c r="J145">
        <v>13735.8</v>
      </c>
      <c r="S145">
        <v>-77779.100000000006</v>
      </c>
      <c r="T145">
        <v>12897.3</v>
      </c>
      <c r="U145">
        <v>13735.8</v>
      </c>
    </row>
    <row r="146" spans="8:21" x14ac:dyDescent="0.2">
      <c r="H146">
        <v>-77000</v>
      </c>
      <c r="I146">
        <v>-11136.699999999999</v>
      </c>
      <c r="J146">
        <v>11884.5</v>
      </c>
      <c r="S146">
        <v>-77000</v>
      </c>
      <c r="T146">
        <v>11136.699999999999</v>
      </c>
      <c r="U146">
        <v>11884.5</v>
      </c>
    </row>
    <row r="147" spans="8:21" x14ac:dyDescent="0.2">
      <c r="H147">
        <v>-77000</v>
      </c>
      <c r="I147">
        <v>-13590.7</v>
      </c>
      <c r="J147">
        <v>12361.5</v>
      </c>
      <c r="S147">
        <v>-77000</v>
      </c>
      <c r="T147">
        <v>13590.7</v>
      </c>
      <c r="U147">
        <v>12361.5</v>
      </c>
    </row>
    <row r="148" spans="8:21" x14ac:dyDescent="0.2">
      <c r="H148">
        <v>-76220.899999999994</v>
      </c>
      <c r="I148">
        <v>-11830.1</v>
      </c>
      <c r="J148">
        <v>10510.199999999999</v>
      </c>
      <c r="S148">
        <v>-76220.899999999994</v>
      </c>
      <c r="T148">
        <v>11830.1</v>
      </c>
      <c r="U148">
        <v>10510.199999999999</v>
      </c>
    </row>
    <row r="149" spans="8:21" x14ac:dyDescent="0.2">
      <c r="H149">
        <v>-76220.899999999994</v>
      </c>
      <c r="I149">
        <v>-13462.6</v>
      </c>
      <c r="J149">
        <v>10827.6</v>
      </c>
      <c r="S149">
        <v>-76220.899999999994</v>
      </c>
      <c r="T149">
        <v>13462.6</v>
      </c>
      <c r="U149">
        <v>10827.6</v>
      </c>
    </row>
    <row r="150" spans="8:21" x14ac:dyDescent="0.2">
      <c r="H150">
        <v>-69000</v>
      </c>
      <c r="I150">
        <v>-10375.5</v>
      </c>
      <c r="J150">
        <v>15800.2</v>
      </c>
      <c r="S150">
        <v>-69000</v>
      </c>
      <c r="T150">
        <v>10375.5</v>
      </c>
      <c r="U150">
        <v>15800.2</v>
      </c>
    </row>
    <row r="151" spans="8:21" x14ac:dyDescent="0.2">
      <c r="H151">
        <v>-69000</v>
      </c>
      <c r="I151">
        <v>-12829.599999999999</v>
      </c>
      <c r="J151">
        <v>16277.300000000001</v>
      </c>
      <c r="S151">
        <v>-69000</v>
      </c>
      <c r="T151">
        <v>12829.599999999999</v>
      </c>
      <c r="U151">
        <v>16277.300000000001</v>
      </c>
    </row>
    <row r="152" spans="8:21" x14ac:dyDescent="0.2">
      <c r="H152">
        <v>-68998.599999999991</v>
      </c>
      <c r="I152">
        <v>-10430.799999999999</v>
      </c>
      <c r="J152">
        <v>17609.5</v>
      </c>
      <c r="S152">
        <v>-68998.599999999991</v>
      </c>
      <c r="T152">
        <v>10430.799999999999</v>
      </c>
      <c r="U152">
        <v>17609.5</v>
      </c>
    </row>
    <row r="153" spans="8:21" x14ac:dyDescent="0.2">
      <c r="H153">
        <v>-68998.599999999991</v>
      </c>
      <c r="I153">
        <v>-12100.6</v>
      </c>
      <c r="J153">
        <v>17934.100000000002</v>
      </c>
      <c r="S153">
        <v>-68998.599999999991</v>
      </c>
      <c r="T153">
        <v>12100.6</v>
      </c>
      <c r="U153">
        <v>17934.100000000002</v>
      </c>
    </row>
    <row r="154" spans="8:21" x14ac:dyDescent="0.2">
      <c r="H154">
        <v>-68998.5</v>
      </c>
      <c r="I154">
        <v>-11110.300000000001</v>
      </c>
      <c r="J154">
        <v>14129.2</v>
      </c>
      <c r="S154">
        <v>-68998.5</v>
      </c>
      <c r="T154">
        <v>11110.300000000001</v>
      </c>
      <c r="U154">
        <v>14129.2</v>
      </c>
    </row>
    <row r="155" spans="8:21" x14ac:dyDescent="0.2">
      <c r="H155">
        <v>-68998.5</v>
      </c>
      <c r="I155">
        <v>-12774.300000000001</v>
      </c>
      <c r="J155">
        <v>14452.7</v>
      </c>
      <c r="S155">
        <v>-68998.5</v>
      </c>
      <c r="T155">
        <v>12774.300000000001</v>
      </c>
      <c r="U155">
        <v>14452.7</v>
      </c>
    </row>
    <row r="156" spans="8:21" x14ac:dyDescent="0.2">
      <c r="H156">
        <v>-59566.8</v>
      </c>
      <c r="I156">
        <v>-9645.0999999999985</v>
      </c>
      <c r="J156">
        <v>21544.3</v>
      </c>
      <c r="S156">
        <v>-59566.8</v>
      </c>
      <c r="T156">
        <v>9645.0999999999985</v>
      </c>
      <c r="U156">
        <v>21544.3</v>
      </c>
    </row>
    <row r="157" spans="8:21" x14ac:dyDescent="0.2">
      <c r="H157">
        <v>-59566.8</v>
      </c>
      <c r="I157">
        <v>-11355</v>
      </c>
      <c r="J157">
        <v>21876.6</v>
      </c>
      <c r="S157">
        <v>-59566.8</v>
      </c>
      <c r="T157">
        <v>11355</v>
      </c>
      <c r="U157">
        <v>21876.6</v>
      </c>
    </row>
    <row r="158" spans="8:21" x14ac:dyDescent="0.2">
      <c r="H158">
        <v>-59000</v>
      </c>
      <c r="I158">
        <v>-9541.4</v>
      </c>
      <c r="J158">
        <v>20091.400000000001</v>
      </c>
      <c r="S158">
        <v>-59000</v>
      </c>
      <c r="T158">
        <v>9541.4</v>
      </c>
      <c r="U158">
        <v>20091.400000000001</v>
      </c>
    </row>
    <row r="159" spans="8:21" x14ac:dyDescent="0.2">
      <c r="H159">
        <v>-59000</v>
      </c>
      <c r="I159">
        <v>-11995.5</v>
      </c>
      <c r="J159">
        <v>20568.5</v>
      </c>
      <c r="S159">
        <v>-59000</v>
      </c>
      <c r="T159">
        <v>11995.5</v>
      </c>
      <c r="U159">
        <v>20568.5</v>
      </c>
    </row>
    <row r="160" spans="8:21" x14ac:dyDescent="0.2">
      <c r="H160">
        <v>-58433.2</v>
      </c>
      <c r="I160">
        <v>-10181.800000000001</v>
      </c>
      <c r="J160">
        <v>18783.3</v>
      </c>
      <c r="S160">
        <v>-58433.2</v>
      </c>
      <c r="T160">
        <v>10181.800000000001</v>
      </c>
      <c r="U160">
        <v>18783.3</v>
      </c>
    </row>
    <row r="161" spans="8:21" x14ac:dyDescent="0.2">
      <c r="H161">
        <v>-58433.2</v>
      </c>
      <c r="I161">
        <v>-11891.7</v>
      </c>
      <c r="J161">
        <v>19115.600000000002</v>
      </c>
      <c r="S161">
        <v>-58433.2</v>
      </c>
      <c r="T161">
        <v>11891.7</v>
      </c>
      <c r="U161">
        <v>19115.600000000002</v>
      </c>
    </row>
    <row r="162" spans="8:21" x14ac:dyDescent="0.2">
      <c r="H162">
        <v>-50464.6</v>
      </c>
      <c r="I162">
        <v>-8995.3000000000011</v>
      </c>
      <c r="J162">
        <v>24784.199999999997</v>
      </c>
      <c r="S162">
        <v>-50464.6</v>
      </c>
      <c r="T162">
        <v>8995.3000000000011</v>
      </c>
      <c r="U162">
        <v>24784.199999999997</v>
      </c>
    </row>
    <row r="163" spans="8:21" x14ac:dyDescent="0.2">
      <c r="H163">
        <v>-50464.6</v>
      </c>
      <c r="I163">
        <v>-10743.800000000001</v>
      </c>
      <c r="J163">
        <v>25124</v>
      </c>
      <c r="S163">
        <v>-50464.6</v>
      </c>
      <c r="T163">
        <v>10743.800000000001</v>
      </c>
      <c r="U163">
        <v>25124</v>
      </c>
    </row>
    <row r="164" spans="8:21" x14ac:dyDescent="0.2">
      <c r="H164">
        <v>-50000</v>
      </c>
      <c r="I164">
        <v>-8902.1</v>
      </c>
      <c r="J164">
        <v>23380.199999999997</v>
      </c>
      <c r="S164">
        <v>-50000</v>
      </c>
      <c r="T164">
        <v>8902.1</v>
      </c>
      <c r="U164">
        <v>23380.199999999997</v>
      </c>
    </row>
    <row r="165" spans="8:21" x14ac:dyDescent="0.2">
      <c r="H165">
        <v>-50000</v>
      </c>
      <c r="I165">
        <v>-11356.199999999999</v>
      </c>
      <c r="J165">
        <v>23857.3</v>
      </c>
      <c r="S165">
        <v>-50000</v>
      </c>
      <c r="T165">
        <v>11356.199999999999</v>
      </c>
      <c r="U165">
        <v>23857.3</v>
      </c>
    </row>
    <row r="166" spans="8:21" x14ac:dyDescent="0.2">
      <c r="H166">
        <v>-49535.4</v>
      </c>
      <c r="I166">
        <v>-9514.5</v>
      </c>
      <c r="J166">
        <v>22113.5</v>
      </c>
      <c r="S166">
        <v>-49535.4</v>
      </c>
      <c r="T166">
        <v>9514.5</v>
      </c>
      <c r="U166">
        <v>22113.5</v>
      </c>
    </row>
    <row r="167" spans="8:21" x14ac:dyDescent="0.2">
      <c r="H167">
        <v>-49535.4</v>
      </c>
      <c r="I167">
        <v>-11263</v>
      </c>
      <c r="J167">
        <v>22453.3</v>
      </c>
      <c r="S167">
        <v>-49535.4</v>
      </c>
      <c r="T167">
        <v>11263</v>
      </c>
      <c r="U167">
        <v>22453.3</v>
      </c>
    </row>
    <row r="168" spans="8:21" x14ac:dyDescent="0.2">
      <c r="H168">
        <v>-40355.800000000003</v>
      </c>
      <c r="I168">
        <v>-8398.4</v>
      </c>
      <c r="J168">
        <v>27740.2</v>
      </c>
      <c r="S168">
        <v>-40355.800000000003</v>
      </c>
      <c r="T168">
        <v>8398.4</v>
      </c>
      <c r="U168">
        <v>27740.2</v>
      </c>
    </row>
    <row r="169" spans="8:21" x14ac:dyDescent="0.2">
      <c r="H169">
        <v>-40355.800000000003</v>
      </c>
      <c r="I169">
        <v>-10189.9</v>
      </c>
      <c r="J169">
        <v>28088.5</v>
      </c>
      <c r="S169">
        <v>-40355.800000000003</v>
      </c>
      <c r="T169">
        <v>10189.9</v>
      </c>
      <c r="U169">
        <v>28088.5</v>
      </c>
    </row>
    <row r="170" spans="8:21" x14ac:dyDescent="0.2">
      <c r="H170">
        <v>-40000</v>
      </c>
      <c r="I170">
        <v>-8315.6</v>
      </c>
      <c r="J170">
        <v>26397.5</v>
      </c>
      <c r="S170">
        <v>-40000</v>
      </c>
      <c r="T170">
        <v>8315.6</v>
      </c>
      <c r="U170">
        <v>26397.5</v>
      </c>
    </row>
    <row r="171" spans="8:21" x14ac:dyDescent="0.2">
      <c r="H171">
        <v>-40000</v>
      </c>
      <c r="I171">
        <v>-10769.7</v>
      </c>
      <c r="J171">
        <v>26874.5</v>
      </c>
      <c r="S171">
        <v>-40000</v>
      </c>
      <c r="T171">
        <v>10769.7</v>
      </c>
      <c r="U171">
        <v>26874.5</v>
      </c>
    </row>
    <row r="172" spans="8:21" x14ac:dyDescent="0.2">
      <c r="H172">
        <v>-39644.199999999997</v>
      </c>
      <c r="I172">
        <v>-8895.4</v>
      </c>
      <c r="J172">
        <v>25183.5</v>
      </c>
      <c r="S172">
        <v>-39644.199999999997</v>
      </c>
      <c r="T172">
        <v>8895.4</v>
      </c>
      <c r="U172">
        <v>25183.5</v>
      </c>
    </row>
    <row r="173" spans="8:21" x14ac:dyDescent="0.2">
      <c r="H173">
        <v>-39644.199999999997</v>
      </c>
      <c r="I173">
        <v>-10686.9</v>
      </c>
      <c r="J173">
        <v>25531.8</v>
      </c>
      <c r="S173">
        <v>-39644.199999999997</v>
      </c>
      <c r="T173">
        <v>10686.9</v>
      </c>
      <c r="U173">
        <v>25531.8</v>
      </c>
    </row>
    <row r="174" spans="8:21" x14ac:dyDescent="0.2">
      <c r="H174">
        <v>-28738.7</v>
      </c>
      <c r="I174">
        <v>-7874.9000000000005</v>
      </c>
      <c r="J174">
        <v>30301.8</v>
      </c>
      <c r="S174">
        <v>-28738.7</v>
      </c>
      <c r="T174">
        <v>7874.9000000000005</v>
      </c>
      <c r="U174">
        <v>30301.8</v>
      </c>
    </row>
    <row r="175" spans="8:21" x14ac:dyDescent="0.2">
      <c r="H175">
        <v>-28738.7</v>
      </c>
      <c r="I175">
        <v>-9715.7000000000007</v>
      </c>
      <c r="J175">
        <v>30659.7</v>
      </c>
      <c r="S175">
        <v>-28738.7</v>
      </c>
      <c r="T175">
        <v>9715.7000000000007</v>
      </c>
      <c r="U175">
        <v>30659.7</v>
      </c>
    </row>
    <row r="176" spans="8:21" x14ac:dyDescent="0.2">
      <c r="H176">
        <v>-28500</v>
      </c>
      <c r="I176">
        <v>-7802.3</v>
      </c>
      <c r="J176">
        <v>29038.399999999998</v>
      </c>
      <c r="S176">
        <v>-28500</v>
      </c>
      <c r="T176">
        <v>7802.3</v>
      </c>
      <c r="U176">
        <v>29038.399999999998</v>
      </c>
    </row>
    <row r="177" spans="8:21" x14ac:dyDescent="0.2">
      <c r="H177">
        <v>-28500</v>
      </c>
      <c r="I177">
        <v>-10256.299999999999</v>
      </c>
      <c r="J177">
        <v>29515.4</v>
      </c>
      <c r="S177">
        <v>-28500</v>
      </c>
      <c r="T177">
        <v>10256.299999999999</v>
      </c>
      <c r="U177">
        <v>29515.4</v>
      </c>
    </row>
    <row r="178" spans="8:21" x14ac:dyDescent="0.2">
      <c r="H178">
        <v>-28261.3</v>
      </c>
      <c r="I178">
        <v>-8342.9</v>
      </c>
      <c r="J178">
        <v>27894.2</v>
      </c>
      <c r="S178">
        <v>-28261.3</v>
      </c>
      <c r="T178">
        <v>8342.9</v>
      </c>
      <c r="U178">
        <v>27894.2</v>
      </c>
    </row>
    <row r="179" spans="8:21" x14ac:dyDescent="0.2">
      <c r="H179">
        <v>-28261.3</v>
      </c>
      <c r="I179">
        <v>-10183.700000000001</v>
      </c>
      <c r="J179">
        <v>28252</v>
      </c>
      <c r="S179">
        <v>-28261.3</v>
      </c>
      <c r="T179">
        <v>10183.700000000001</v>
      </c>
      <c r="U179">
        <v>28252</v>
      </c>
    </row>
    <row r="180" spans="8:21" x14ac:dyDescent="0.2">
      <c r="H180">
        <v>-16123.9</v>
      </c>
      <c r="I180">
        <v>-7503.3</v>
      </c>
      <c r="J180">
        <v>32070.099999999995</v>
      </c>
      <c r="S180">
        <v>-16123.9</v>
      </c>
      <c r="T180">
        <v>7503.3</v>
      </c>
      <c r="U180">
        <v>32070.099999999995</v>
      </c>
    </row>
    <row r="181" spans="8:21" x14ac:dyDescent="0.2">
      <c r="H181">
        <v>-16123.9</v>
      </c>
      <c r="I181">
        <v>-9397.9</v>
      </c>
      <c r="J181">
        <v>32438.3</v>
      </c>
      <c r="S181">
        <v>-16123.9</v>
      </c>
      <c r="T181">
        <v>9397.9</v>
      </c>
      <c r="U181">
        <v>32438.3</v>
      </c>
    </row>
    <row r="182" spans="8:21" x14ac:dyDescent="0.2">
      <c r="H182">
        <v>-16000</v>
      </c>
      <c r="I182">
        <v>-7439.8</v>
      </c>
      <c r="J182">
        <v>30903.199999999997</v>
      </c>
      <c r="S182">
        <v>-16000</v>
      </c>
      <c r="T182">
        <v>7439.8</v>
      </c>
      <c r="U182">
        <v>30903.199999999997</v>
      </c>
    </row>
    <row r="183" spans="8:21" x14ac:dyDescent="0.2">
      <c r="H183">
        <v>-16000</v>
      </c>
      <c r="I183">
        <v>-9893.9</v>
      </c>
      <c r="J183">
        <v>31380.3</v>
      </c>
      <c r="S183">
        <v>-16000</v>
      </c>
      <c r="T183">
        <v>9893.9</v>
      </c>
      <c r="U183">
        <v>31380.3</v>
      </c>
    </row>
    <row r="184" spans="8:21" x14ac:dyDescent="0.2">
      <c r="H184">
        <v>-15876.099999999999</v>
      </c>
      <c r="I184">
        <v>-7935.8</v>
      </c>
      <c r="J184">
        <v>29845.199999999997</v>
      </c>
      <c r="S184">
        <v>-15876.099999999999</v>
      </c>
      <c r="T184">
        <v>7935.8</v>
      </c>
      <c r="U184">
        <v>29845.199999999997</v>
      </c>
    </row>
    <row r="185" spans="8:21" x14ac:dyDescent="0.2">
      <c r="H185">
        <v>-15876.099999999999</v>
      </c>
      <c r="I185">
        <v>-9830.2999999999993</v>
      </c>
      <c r="J185">
        <v>30213.5</v>
      </c>
      <c r="S185">
        <v>-15876.099999999999</v>
      </c>
      <c r="T185">
        <v>9830.2999999999993</v>
      </c>
      <c r="U185">
        <v>30213.5</v>
      </c>
    </row>
    <row r="186" spans="8:21" x14ac:dyDescent="0.2">
      <c r="H186">
        <v>-5035.5999999999995</v>
      </c>
      <c r="I186">
        <v>-7346.4</v>
      </c>
      <c r="J186">
        <v>32751.399999999998</v>
      </c>
      <c r="S186">
        <v>-5035.5999999999995</v>
      </c>
      <c r="T186">
        <v>7346.4</v>
      </c>
      <c r="U186">
        <v>32751.399999999998</v>
      </c>
    </row>
    <row r="187" spans="8:21" x14ac:dyDescent="0.2">
      <c r="H187">
        <v>-5035.5999999999995</v>
      </c>
      <c r="I187">
        <v>-9288.1</v>
      </c>
      <c r="J187">
        <v>33128.9</v>
      </c>
      <c r="S187">
        <v>-5035.5999999999995</v>
      </c>
      <c r="T187">
        <v>9288.1</v>
      </c>
      <c r="U187">
        <v>33128.9</v>
      </c>
    </row>
    <row r="188" spans="8:21" x14ac:dyDescent="0.2">
      <c r="H188">
        <v>-5000</v>
      </c>
      <c r="I188">
        <v>-7289.3</v>
      </c>
      <c r="J188">
        <v>31677.7</v>
      </c>
      <c r="S188">
        <v>-5000</v>
      </c>
      <c r="T188">
        <v>7289.3</v>
      </c>
      <c r="U188">
        <v>31677.7</v>
      </c>
    </row>
    <row r="189" spans="8:21" x14ac:dyDescent="0.2">
      <c r="H189">
        <v>-5000</v>
      </c>
      <c r="I189">
        <v>-9743.2999999999993</v>
      </c>
      <c r="J189">
        <v>32154.699999999997</v>
      </c>
      <c r="S189">
        <v>-5000</v>
      </c>
      <c r="T189">
        <v>9743.2999999999993</v>
      </c>
      <c r="U189">
        <v>32154.699999999997</v>
      </c>
    </row>
    <row r="190" spans="8:21" x14ac:dyDescent="0.2">
      <c r="H190">
        <v>-4964.4000000000005</v>
      </c>
      <c r="I190">
        <v>-7744.4</v>
      </c>
      <c r="J190">
        <v>30703.5</v>
      </c>
      <c r="S190">
        <v>-4964.4000000000005</v>
      </c>
      <c r="T190">
        <v>7744.4</v>
      </c>
      <c r="U190">
        <v>30703.5</v>
      </c>
    </row>
    <row r="191" spans="8:21" x14ac:dyDescent="0.2">
      <c r="H191">
        <v>-4964.4000000000005</v>
      </c>
      <c r="I191">
        <v>-9686.1999999999989</v>
      </c>
      <c r="J191">
        <v>31080.9</v>
      </c>
      <c r="S191">
        <v>-4964.4000000000005</v>
      </c>
      <c r="T191">
        <v>9686.1999999999989</v>
      </c>
      <c r="U191">
        <v>31080.9</v>
      </c>
    </row>
    <row r="192" spans="8:21" x14ac:dyDescent="0.2">
      <c r="H192">
        <v>4964.4000000000005</v>
      </c>
      <c r="I192">
        <v>-7744.4</v>
      </c>
      <c r="J192">
        <v>30703.5</v>
      </c>
      <c r="S192">
        <v>4964.4000000000005</v>
      </c>
      <c r="T192">
        <v>7744.4</v>
      </c>
      <c r="U192">
        <v>30703.5</v>
      </c>
    </row>
    <row r="193" spans="8:21" x14ac:dyDescent="0.2">
      <c r="H193">
        <v>4964.4000000000005</v>
      </c>
      <c r="I193">
        <v>-9686.1999999999989</v>
      </c>
      <c r="J193">
        <v>31080.9</v>
      </c>
      <c r="S193">
        <v>4964.4000000000005</v>
      </c>
      <c r="T193">
        <v>9686.1999999999989</v>
      </c>
      <c r="U193">
        <v>31080.9</v>
      </c>
    </row>
    <row r="194" spans="8:21" x14ac:dyDescent="0.2">
      <c r="H194">
        <v>5000</v>
      </c>
      <c r="I194">
        <v>-7289.3</v>
      </c>
      <c r="J194">
        <v>31677.7</v>
      </c>
      <c r="S194">
        <v>5000</v>
      </c>
      <c r="T194">
        <v>7289.3</v>
      </c>
      <c r="U194">
        <v>31677.7</v>
      </c>
    </row>
    <row r="195" spans="8:21" x14ac:dyDescent="0.2">
      <c r="H195">
        <v>5000</v>
      </c>
      <c r="I195">
        <v>-9743.2999999999993</v>
      </c>
      <c r="J195">
        <v>32154.699999999997</v>
      </c>
      <c r="S195">
        <v>5000</v>
      </c>
      <c r="T195">
        <v>9743.2999999999993</v>
      </c>
      <c r="U195">
        <v>32154.699999999997</v>
      </c>
    </row>
    <row r="196" spans="8:21" x14ac:dyDescent="0.2">
      <c r="H196">
        <v>5035.5999999999995</v>
      </c>
      <c r="I196">
        <v>-7346.4</v>
      </c>
      <c r="J196">
        <v>32751.399999999998</v>
      </c>
      <c r="S196">
        <v>5035.5999999999995</v>
      </c>
      <c r="T196">
        <v>7346.4</v>
      </c>
      <c r="U196">
        <v>32751.399999999998</v>
      </c>
    </row>
    <row r="197" spans="8:21" x14ac:dyDescent="0.2">
      <c r="H197">
        <v>5035.5999999999995</v>
      </c>
      <c r="I197">
        <v>-9288.1</v>
      </c>
      <c r="J197">
        <v>33128.9</v>
      </c>
      <c r="S197">
        <v>5035.5999999999995</v>
      </c>
      <c r="T197">
        <v>9288.1</v>
      </c>
      <c r="U197">
        <v>33128.9</v>
      </c>
    </row>
    <row r="198" spans="8:21" x14ac:dyDescent="0.2">
      <c r="H198">
        <v>15876.099999999999</v>
      </c>
      <c r="I198">
        <v>-7935.8</v>
      </c>
      <c r="J198">
        <v>29845.199999999997</v>
      </c>
      <c r="S198">
        <v>15876.099999999999</v>
      </c>
      <c r="T198">
        <v>7935.8</v>
      </c>
      <c r="U198">
        <v>29845.199999999997</v>
      </c>
    </row>
    <row r="199" spans="8:21" x14ac:dyDescent="0.2">
      <c r="H199">
        <v>15876.099999999999</v>
      </c>
      <c r="I199">
        <v>-9830.2999999999993</v>
      </c>
      <c r="J199">
        <v>30213.5</v>
      </c>
      <c r="S199">
        <v>15876.099999999999</v>
      </c>
      <c r="T199">
        <v>9830.2999999999993</v>
      </c>
      <c r="U199">
        <v>30213.5</v>
      </c>
    </row>
    <row r="200" spans="8:21" x14ac:dyDescent="0.2">
      <c r="H200">
        <v>16000</v>
      </c>
      <c r="I200">
        <v>-7439.8</v>
      </c>
      <c r="J200">
        <v>30903.199999999997</v>
      </c>
      <c r="S200">
        <v>16000</v>
      </c>
      <c r="T200">
        <v>7439.8</v>
      </c>
      <c r="U200">
        <v>30903.199999999997</v>
      </c>
    </row>
    <row r="201" spans="8:21" x14ac:dyDescent="0.2">
      <c r="H201">
        <v>16000</v>
      </c>
      <c r="I201">
        <v>-9893.9</v>
      </c>
      <c r="J201">
        <v>31380.3</v>
      </c>
      <c r="S201">
        <v>16000</v>
      </c>
      <c r="T201">
        <v>9893.9</v>
      </c>
      <c r="U201">
        <v>31380.3</v>
      </c>
    </row>
    <row r="202" spans="8:21" x14ac:dyDescent="0.2">
      <c r="H202">
        <v>16123.9</v>
      </c>
      <c r="I202">
        <v>-7503.3</v>
      </c>
      <c r="J202">
        <v>32070.099999999995</v>
      </c>
      <c r="S202">
        <v>16123.9</v>
      </c>
      <c r="T202">
        <v>7503.3</v>
      </c>
      <c r="U202">
        <v>32070.099999999995</v>
      </c>
    </row>
    <row r="203" spans="8:21" x14ac:dyDescent="0.2">
      <c r="H203">
        <v>16123.9</v>
      </c>
      <c r="I203">
        <v>-9397.9</v>
      </c>
      <c r="J203">
        <v>32438.3</v>
      </c>
      <c r="S203">
        <v>16123.9</v>
      </c>
      <c r="T203">
        <v>9397.9</v>
      </c>
      <c r="U203">
        <v>32438.3</v>
      </c>
    </row>
    <row r="204" spans="8:21" x14ac:dyDescent="0.2">
      <c r="H204">
        <v>28261.3</v>
      </c>
      <c r="I204">
        <v>-8342.9</v>
      </c>
      <c r="J204">
        <v>27894.2</v>
      </c>
      <c r="S204">
        <v>28261.3</v>
      </c>
      <c r="T204">
        <v>8342.9</v>
      </c>
      <c r="U204">
        <v>27894.2</v>
      </c>
    </row>
    <row r="205" spans="8:21" x14ac:dyDescent="0.2">
      <c r="H205">
        <v>28261.3</v>
      </c>
      <c r="I205">
        <v>-10183.700000000001</v>
      </c>
      <c r="J205">
        <v>28252</v>
      </c>
      <c r="S205">
        <v>28261.3</v>
      </c>
      <c r="T205">
        <v>10183.700000000001</v>
      </c>
      <c r="U205">
        <v>28252</v>
      </c>
    </row>
    <row r="206" spans="8:21" x14ac:dyDescent="0.2">
      <c r="H206">
        <v>28500</v>
      </c>
      <c r="I206">
        <v>-7802.3</v>
      </c>
      <c r="J206">
        <v>29038.399999999998</v>
      </c>
      <c r="S206">
        <v>28500</v>
      </c>
      <c r="T206">
        <v>7802.3</v>
      </c>
      <c r="U206">
        <v>29038.399999999998</v>
      </c>
    </row>
    <row r="207" spans="8:21" x14ac:dyDescent="0.2">
      <c r="H207">
        <v>28500</v>
      </c>
      <c r="I207">
        <v>-10256.299999999999</v>
      </c>
      <c r="J207">
        <v>29515.4</v>
      </c>
      <c r="S207">
        <v>28500</v>
      </c>
      <c r="T207">
        <v>10256.299999999999</v>
      </c>
      <c r="U207">
        <v>29515.4</v>
      </c>
    </row>
    <row r="208" spans="8:21" x14ac:dyDescent="0.2">
      <c r="H208">
        <v>28738.7</v>
      </c>
      <c r="I208">
        <v>-7874.9000000000005</v>
      </c>
      <c r="J208">
        <v>30301.8</v>
      </c>
      <c r="S208">
        <v>28738.7</v>
      </c>
      <c r="T208">
        <v>7874.9000000000005</v>
      </c>
      <c r="U208">
        <v>30301.8</v>
      </c>
    </row>
    <row r="209" spans="8:21" x14ac:dyDescent="0.2">
      <c r="H209">
        <v>28738.7</v>
      </c>
      <c r="I209">
        <v>-9715.7000000000007</v>
      </c>
      <c r="J209">
        <v>30659.7</v>
      </c>
      <c r="S209">
        <v>28738.7</v>
      </c>
      <c r="T209">
        <v>9715.7000000000007</v>
      </c>
      <c r="U209">
        <v>30659.7</v>
      </c>
    </row>
    <row r="210" spans="8:21" x14ac:dyDescent="0.2">
      <c r="H210">
        <v>39644.199999999997</v>
      </c>
      <c r="I210">
        <v>-8895.4</v>
      </c>
      <c r="J210">
        <v>25183.5</v>
      </c>
      <c r="S210">
        <v>39644.199999999997</v>
      </c>
      <c r="T210">
        <v>8895.4</v>
      </c>
      <c r="U210">
        <v>25183.5</v>
      </c>
    </row>
    <row r="211" spans="8:21" x14ac:dyDescent="0.2">
      <c r="H211">
        <v>39644.199999999997</v>
      </c>
      <c r="I211">
        <v>-10686.9</v>
      </c>
      <c r="J211">
        <v>25531.8</v>
      </c>
      <c r="S211">
        <v>39644.199999999997</v>
      </c>
      <c r="T211">
        <v>10686.9</v>
      </c>
      <c r="U211">
        <v>25531.8</v>
      </c>
    </row>
    <row r="212" spans="8:21" x14ac:dyDescent="0.2">
      <c r="H212">
        <v>40000</v>
      </c>
      <c r="I212">
        <v>-8315.6</v>
      </c>
      <c r="J212">
        <v>26397.5</v>
      </c>
      <c r="S212">
        <v>40000</v>
      </c>
      <c r="T212">
        <v>8315.6</v>
      </c>
      <c r="U212">
        <v>26397.5</v>
      </c>
    </row>
    <row r="213" spans="8:21" x14ac:dyDescent="0.2">
      <c r="H213">
        <v>40000</v>
      </c>
      <c r="I213">
        <v>-10769.7</v>
      </c>
      <c r="J213">
        <v>26874.5</v>
      </c>
      <c r="S213">
        <v>40000</v>
      </c>
      <c r="T213">
        <v>10769.7</v>
      </c>
      <c r="U213">
        <v>26874.5</v>
      </c>
    </row>
    <row r="214" spans="8:21" x14ac:dyDescent="0.2">
      <c r="H214">
        <v>40355.800000000003</v>
      </c>
      <c r="I214">
        <v>-8398.4</v>
      </c>
      <c r="J214">
        <v>27740.2</v>
      </c>
      <c r="S214">
        <v>40355.800000000003</v>
      </c>
      <c r="T214">
        <v>8398.4</v>
      </c>
      <c r="U214">
        <v>27740.2</v>
      </c>
    </row>
    <row r="215" spans="8:21" x14ac:dyDescent="0.2">
      <c r="H215">
        <v>40355.800000000003</v>
      </c>
      <c r="I215">
        <v>-10189.9</v>
      </c>
      <c r="J215">
        <v>28088.5</v>
      </c>
      <c r="S215">
        <v>40355.800000000003</v>
      </c>
      <c r="T215">
        <v>10189.9</v>
      </c>
      <c r="U215">
        <v>28088.5</v>
      </c>
    </row>
    <row r="216" spans="8:21" x14ac:dyDescent="0.2">
      <c r="H216">
        <v>49535.4</v>
      </c>
      <c r="I216">
        <v>-9514.5</v>
      </c>
      <c r="J216">
        <v>22113.5</v>
      </c>
      <c r="S216">
        <v>49535.4</v>
      </c>
      <c r="T216">
        <v>9514.5</v>
      </c>
      <c r="U216">
        <v>22113.5</v>
      </c>
    </row>
    <row r="217" spans="8:21" x14ac:dyDescent="0.2">
      <c r="H217">
        <v>49535.4</v>
      </c>
      <c r="I217">
        <v>-11263</v>
      </c>
      <c r="J217">
        <v>22453.3</v>
      </c>
      <c r="S217">
        <v>49535.4</v>
      </c>
      <c r="T217">
        <v>11263</v>
      </c>
      <c r="U217">
        <v>22453.3</v>
      </c>
    </row>
    <row r="218" spans="8:21" x14ac:dyDescent="0.2">
      <c r="H218">
        <v>50000</v>
      </c>
      <c r="I218">
        <v>-8902.1</v>
      </c>
      <c r="J218">
        <v>23380.199999999997</v>
      </c>
      <c r="S218">
        <v>50000</v>
      </c>
      <c r="T218">
        <v>8902.1</v>
      </c>
      <c r="U218">
        <v>23380.199999999997</v>
      </c>
    </row>
    <row r="219" spans="8:21" x14ac:dyDescent="0.2">
      <c r="H219">
        <v>50000</v>
      </c>
      <c r="I219">
        <v>-11356.199999999999</v>
      </c>
      <c r="J219">
        <v>23857.3</v>
      </c>
      <c r="S219">
        <v>50000</v>
      </c>
      <c r="T219">
        <v>11356.199999999999</v>
      </c>
      <c r="U219">
        <v>23857.3</v>
      </c>
    </row>
    <row r="220" spans="8:21" x14ac:dyDescent="0.2">
      <c r="H220">
        <v>50464.6</v>
      </c>
      <c r="I220">
        <v>-8995.3000000000011</v>
      </c>
      <c r="J220">
        <v>24784.199999999997</v>
      </c>
      <c r="S220">
        <v>50464.6</v>
      </c>
      <c r="T220">
        <v>8995.3000000000011</v>
      </c>
      <c r="U220">
        <v>24784.199999999997</v>
      </c>
    </row>
    <row r="221" spans="8:21" x14ac:dyDescent="0.2">
      <c r="H221">
        <v>50464.6</v>
      </c>
      <c r="I221">
        <v>-10743.800000000001</v>
      </c>
      <c r="J221">
        <v>25124</v>
      </c>
      <c r="S221">
        <v>50464.6</v>
      </c>
      <c r="T221">
        <v>10743.800000000001</v>
      </c>
      <c r="U221">
        <v>25124</v>
      </c>
    </row>
    <row r="222" spans="8:21" x14ac:dyDescent="0.2">
      <c r="H222">
        <v>58433.2</v>
      </c>
      <c r="I222">
        <v>-10181.800000000001</v>
      </c>
      <c r="J222">
        <v>18783.3</v>
      </c>
      <c r="S222">
        <v>58433.2</v>
      </c>
      <c r="T222">
        <v>10181.800000000001</v>
      </c>
      <c r="U222">
        <v>18783.3</v>
      </c>
    </row>
    <row r="223" spans="8:21" x14ac:dyDescent="0.2">
      <c r="H223">
        <v>58433.2</v>
      </c>
      <c r="I223">
        <v>-11891.7</v>
      </c>
      <c r="J223">
        <v>19115.600000000002</v>
      </c>
      <c r="S223">
        <v>58433.2</v>
      </c>
      <c r="T223">
        <v>11891.7</v>
      </c>
      <c r="U223">
        <v>19115.600000000002</v>
      </c>
    </row>
    <row r="224" spans="8:21" x14ac:dyDescent="0.2">
      <c r="H224">
        <v>59000</v>
      </c>
      <c r="I224">
        <v>-9541.4</v>
      </c>
      <c r="J224">
        <v>20091.400000000001</v>
      </c>
      <c r="S224">
        <v>59000</v>
      </c>
      <c r="T224">
        <v>9541.4</v>
      </c>
      <c r="U224">
        <v>20091.400000000001</v>
      </c>
    </row>
    <row r="225" spans="8:21" x14ac:dyDescent="0.2">
      <c r="H225">
        <v>59000</v>
      </c>
      <c r="I225">
        <v>-11995.5</v>
      </c>
      <c r="J225">
        <v>20568.5</v>
      </c>
      <c r="S225">
        <v>59000</v>
      </c>
      <c r="T225">
        <v>11995.5</v>
      </c>
      <c r="U225">
        <v>20568.5</v>
      </c>
    </row>
    <row r="226" spans="8:21" x14ac:dyDescent="0.2">
      <c r="H226">
        <v>59566.8</v>
      </c>
      <c r="I226">
        <v>-9645.0999999999985</v>
      </c>
      <c r="J226">
        <v>21544.3</v>
      </c>
      <c r="S226">
        <v>59566.8</v>
      </c>
      <c r="T226">
        <v>9645.0999999999985</v>
      </c>
      <c r="U226">
        <v>21544.3</v>
      </c>
    </row>
    <row r="227" spans="8:21" x14ac:dyDescent="0.2">
      <c r="H227">
        <v>59566.8</v>
      </c>
      <c r="I227">
        <v>-11355</v>
      </c>
      <c r="J227">
        <v>21876.6</v>
      </c>
      <c r="S227">
        <v>59566.8</v>
      </c>
      <c r="T227">
        <v>11355</v>
      </c>
      <c r="U227">
        <v>21876.6</v>
      </c>
    </row>
    <row r="228" spans="8:21" x14ac:dyDescent="0.2">
      <c r="H228">
        <v>68998.5</v>
      </c>
      <c r="I228">
        <v>-11110.300000000001</v>
      </c>
      <c r="J228">
        <v>14129.2</v>
      </c>
      <c r="S228">
        <v>68998.5</v>
      </c>
      <c r="T228">
        <v>11110.300000000001</v>
      </c>
      <c r="U228">
        <v>14129.2</v>
      </c>
    </row>
    <row r="229" spans="8:21" x14ac:dyDescent="0.2">
      <c r="H229">
        <v>68998.5</v>
      </c>
      <c r="I229">
        <v>-12774.300000000001</v>
      </c>
      <c r="J229">
        <v>14452.7</v>
      </c>
      <c r="S229">
        <v>68998.5</v>
      </c>
      <c r="T229">
        <v>12774.300000000001</v>
      </c>
      <c r="U229">
        <v>14452.7</v>
      </c>
    </row>
    <row r="230" spans="8:21" x14ac:dyDescent="0.2">
      <c r="H230">
        <v>68998.599999999991</v>
      </c>
      <c r="I230">
        <v>-10430.799999999999</v>
      </c>
      <c r="J230">
        <v>17609.5</v>
      </c>
      <c r="S230">
        <v>68998.599999999991</v>
      </c>
      <c r="T230">
        <v>10430.799999999999</v>
      </c>
      <c r="U230">
        <v>17609.5</v>
      </c>
    </row>
    <row r="231" spans="8:21" x14ac:dyDescent="0.2">
      <c r="H231">
        <v>68998.599999999991</v>
      </c>
      <c r="I231">
        <v>-12100.6</v>
      </c>
      <c r="J231">
        <v>17934.100000000002</v>
      </c>
      <c r="S231">
        <v>68998.599999999991</v>
      </c>
      <c r="T231">
        <v>12100.6</v>
      </c>
      <c r="U231">
        <v>17934.100000000002</v>
      </c>
    </row>
    <row r="232" spans="8:21" x14ac:dyDescent="0.2">
      <c r="H232">
        <v>69000</v>
      </c>
      <c r="I232">
        <v>-10375.5</v>
      </c>
      <c r="J232">
        <v>15800.2</v>
      </c>
      <c r="S232">
        <v>69000</v>
      </c>
      <c r="T232">
        <v>10375.5</v>
      </c>
      <c r="U232">
        <v>15800.2</v>
      </c>
    </row>
    <row r="233" spans="8:21" x14ac:dyDescent="0.2">
      <c r="H233">
        <v>69000</v>
      </c>
      <c r="I233">
        <v>-12829.599999999999</v>
      </c>
      <c r="J233">
        <v>16277.300000000001</v>
      </c>
      <c r="S233">
        <v>69000</v>
      </c>
      <c r="T233">
        <v>12829.599999999999</v>
      </c>
      <c r="U233">
        <v>16277.300000000001</v>
      </c>
    </row>
    <row r="234" spans="8:21" x14ac:dyDescent="0.2">
      <c r="H234">
        <v>76220.899999999994</v>
      </c>
      <c r="I234">
        <v>-11830.1</v>
      </c>
      <c r="J234">
        <v>10510.199999999999</v>
      </c>
      <c r="S234">
        <v>76220.899999999994</v>
      </c>
      <c r="T234">
        <v>11830.1</v>
      </c>
      <c r="U234">
        <v>10510.199999999999</v>
      </c>
    </row>
    <row r="235" spans="8:21" x14ac:dyDescent="0.2">
      <c r="H235">
        <v>76220.899999999994</v>
      </c>
      <c r="I235">
        <v>-13462.6</v>
      </c>
      <c r="J235">
        <v>10827.6</v>
      </c>
      <c r="S235">
        <v>76220.899999999994</v>
      </c>
      <c r="T235">
        <v>13462.6</v>
      </c>
      <c r="U235">
        <v>10827.6</v>
      </c>
    </row>
    <row r="236" spans="8:21" x14ac:dyDescent="0.2">
      <c r="H236">
        <v>77000</v>
      </c>
      <c r="I236">
        <v>-11136.699999999999</v>
      </c>
      <c r="J236">
        <v>11884.5</v>
      </c>
      <c r="S236">
        <v>77000</v>
      </c>
      <c r="T236">
        <v>11136.699999999999</v>
      </c>
      <c r="U236">
        <v>11884.5</v>
      </c>
    </row>
    <row r="237" spans="8:21" x14ac:dyDescent="0.2">
      <c r="H237">
        <v>77000</v>
      </c>
      <c r="I237">
        <v>-13590.7</v>
      </c>
      <c r="J237">
        <v>12361.5</v>
      </c>
      <c r="S237">
        <v>77000</v>
      </c>
      <c r="T237">
        <v>13590.7</v>
      </c>
      <c r="U237">
        <v>12361.5</v>
      </c>
    </row>
    <row r="238" spans="8:21" x14ac:dyDescent="0.2">
      <c r="H238">
        <v>77779.100000000006</v>
      </c>
      <c r="I238">
        <v>-11264.8</v>
      </c>
      <c r="J238">
        <v>13418.5</v>
      </c>
      <c r="S238">
        <v>77779.100000000006</v>
      </c>
      <c r="T238">
        <v>11264.8</v>
      </c>
      <c r="U238">
        <v>13418.5</v>
      </c>
    </row>
    <row r="239" spans="8:21" x14ac:dyDescent="0.2">
      <c r="H239">
        <v>77779.100000000006</v>
      </c>
      <c r="I239">
        <v>-12897.3</v>
      </c>
      <c r="J239">
        <v>13735.8</v>
      </c>
      <c r="S239">
        <v>77779.100000000006</v>
      </c>
      <c r="T239">
        <v>12897.3</v>
      </c>
      <c r="U239">
        <v>13735.8</v>
      </c>
    </row>
    <row r="240" spans="8:21" x14ac:dyDescent="0.2">
      <c r="H240">
        <v>82148.600000000006</v>
      </c>
      <c r="I240">
        <v>-12472.4</v>
      </c>
      <c r="J240">
        <v>7274.3</v>
      </c>
      <c r="S240">
        <v>82148.600000000006</v>
      </c>
      <c r="T240">
        <v>12472.4</v>
      </c>
      <c r="U240">
        <v>7274.3</v>
      </c>
    </row>
    <row r="241" spans="8:21" x14ac:dyDescent="0.2">
      <c r="H241">
        <v>82148.600000000006</v>
      </c>
      <c r="I241">
        <v>-14079.2</v>
      </c>
      <c r="J241">
        <v>7586.7000000000007</v>
      </c>
      <c r="S241">
        <v>82148.600000000006</v>
      </c>
      <c r="T241">
        <v>14079.2</v>
      </c>
      <c r="U241">
        <v>7586.7000000000007</v>
      </c>
    </row>
    <row r="242" spans="8:21" x14ac:dyDescent="0.2">
      <c r="H242">
        <v>83000</v>
      </c>
      <c r="I242">
        <v>-11762.3</v>
      </c>
      <c r="J242">
        <v>8666.1</v>
      </c>
      <c r="S242">
        <v>83000</v>
      </c>
      <c r="T242">
        <v>11762.3</v>
      </c>
      <c r="U242">
        <v>8666.1</v>
      </c>
    </row>
    <row r="243" spans="8:21" x14ac:dyDescent="0.2">
      <c r="H243">
        <v>83000</v>
      </c>
      <c r="I243">
        <v>-14216.300000000001</v>
      </c>
      <c r="J243">
        <v>9143.1</v>
      </c>
      <c r="S243">
        <v>83000</v>
      </c>
      <c r="T243">
        <v>14216.300000000001</v>
      </c>
      <c r="U243">
        <v>9143.1</v>
      </c>
    </row>
    <row r="244" spans="8:21" x14ac:dyDescent="0.2">
      <c r="H244">
        <v>83851.399999999994</v>
      </c>
      <c r="I244">
        <v>-11899.300000000001</v>
      </c>
      <c r="J244">
        <v>10222.6</v>
      </c>
      <c r="S244">
        <v>83851.399999999994</v>
      </c>
      <c r="T244">
        <v>11899.300000000001</v>
      </c>
      <c r="U244">
        <v>10222.6</v>
      </c>
    </row>
    <row r="245" spans="8:21" x14ac:dyDescent="0.2">
      <c r="H245">
        <v>83851.399999999994</v>
      </c>
      <c r="I245">
        <v>-13506.1</v>
      </c>
      <c r="J245">
        <v>10534.9</v>
      </c>
      <c r="S245">
        <v>83851.399999999994</v>
      </c>
      <c r="T245">
        <v>13506.1</v>
      </c>
      <c r="U245">
        <v>10534.9</v>
      </c>
    </row>
    <row r="246" spans="8:21" x14ac:dyDescent="0.2">
      <c r="H246">
        <v>92027.5</v>
      </c>
      <c r="I246">
        <v>-13646.4</v>
      </c>
      <c r="J246">
        <v>1349.3999999999999</v>
      </c>
      <c r="S246">
        <v>92027.5</v>
      </c>
      <c r="T246">
        <v>13646.4</v>
      </c>
      <c r="U246">
        <v>1349.3999999999999</v>
      </c>
    </row>
    <row r="247" spans="8:21" x14ac:dyDescent="0.2">
      <c r="H247">
        <v>92027.5</v>
      </c>
      <c r="I247">
        <v>-15210.3</v>
      </c>
      <c r="J247">
        <v>1653.4</v>
      </c>
      <c r="S247">
        <v>92027.5</v>
      </c>
      <c r="T247">
        <v>15210.3</v>
      </c>
      <c r="U247">
        <v>1653.4</v>
      </c>
    </row>
    <row r="248" spans="8:21" x14ac:dyDescent="0.2">
      <c r="H248">
        <v>93000</v>
      </c>
      <c r="I248">
        <v>-12909.2</v>
      </c>
      <c r="J248">
        <v>2765.7</v>
      </c>
      <c r="S248">
        <v>93000</v>
      </c>
      <c r="T248">
        <v>12909.2</v>
      </c>
      <c r="U248">
        <v>2765.7</v>
      </c>
    </row>
    <row r="249" spans="8:21" x14ac:dyDescent="0.2">
      <c r="H249">
        <v>93000</v>
      </c>
      <c r="I249">
        <v>-15363.2</v>
      </c>
      <c r="J249">
        <v>3242.7000000000003</v>
      </c>
      <c r="S249">
        <v>93000</v>
      </c>
      <c r="T249">
        <v>15363.2</v>
      </c>
      <c r="U249">
        <v>3242.7000000000003</v>
      </c>
    </row>
    <row r="250" spans="8:21" x14ac:dyDescent="0.2">
      <c r="H250">
        <v>93972.5</v>
      </c>
      <c r="I250">
        <v>-13062.2</v>
      </c>
      <c r="J250">
        <v>4355.1000000000004</v>
      </c>
      <c r="S250">
        <v>93972.5</v>
      </c>
      <c r="T250">
        <v>13062.2</v>
      </c>
      <c r="U250">
        <v>4355.1000000000004</v>
      </c>
    </row>
    <row r="251" spans="8:21" x14ac:dyDescent="0.2">
      <c r="H251">
        <v>93972.5</v>
      </c>
      <c r="I251">
        <v>-14626</v>
      </c>
      <c r="J251">
        <v>4659.0999999999995</v>
      </c>
      <c r="S251">
        <v>93972.5</v>
      </c>
      <c r="T251">
        <v>14626</v>
      </c>
      <c r="U251">
        <v>4659.0999999999995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1218-9C85-4D0A-AA76-1045B6E31D9A}">
  <dimension ref="A10:DR26"/>
  <sheetViews>
    <sheetView workbookViewId="0">
      <selection activeCell="H22" sqref="H22"/>
    </sheetView>
  </sheetViews>
  <sheetFormatPr defaultColWidth="11.25" defaultRowHeight="14.25" x14ac:dyDescent="0.2"/>
  <cols>
    <col min="1" max="1" width="7.875" style="1" customWidth="1"/>
    <col min="2" max="16384" width="11.25" style="1"/>
  </cols>
  <sheetData>
    <row r="10" spans="1:122" x14ac:dyDescent="0.2">
      <c r="A10" s="4" t="s">
        <v>248</v>
      </c>
      <c r="B10" s="5" t="s">
        <v>250</v>
      </c>
      <c r="C10" s="4" t="s">
        <v>249</v>
      </c>
      <c r="D10" s="4"/>
      <c r="E10" s="4"/>
      <c r="F10" s="4"/>
      <c r="G10" s="4"/>
      <c r="H10" s="4"/>
      <c r="I10" s="4" t="s">
        <v>258</v>
      </c>
      <c r="J10" s="4"/>
      <c r="K10" s="4"/>
      <c r="L10" s="4"/>
      <c r="M10" s="4"/>
      <c r="N10" s="4"/>
      <c r="O10" s="4" t="s">
        <v>259</v>
      </c>
      <c r="P10" s="4"/>
      <c r="Q10" s="4"/>
      <c r="R10" s="4"/>
      <c r="S10" s="4"/>
      <c r="T10" s="4"/>
      <c r="U10" s="4" t="s">
        <v>260</v>
      </c>
      <c r="V10" s="4"/>
      <c r="W10" s="4"/>
      <c r="X10" s="4"/>
      <c r="Y10" s="4"/>
      <c r="Z10" s="4"/>
      <c r="AA10" s="4" t="s">
        <v>261</v>
      </c>
      <c r="AB10" s="4"/>
      <c r="AC10" s="4"/>
      <c r="AD10" s="4"/>
      <c r="AE10" s="4"/>
      <c r="AF10" s="4"/>
      <c r="AG10" s="4" t="s">
        <v>262</v>
      </c>
      <c r="AH10" s="4"/>
      <c r="AI10" s="4"/>
      <c r="AJ10" s="4"/>
      <c r="AK10" s="4"/>
      <c r="AL10" s="4"/>
      <c r="AM10" s="4" t="s">
        <v>263</v>
      </c>
      <c r="AN10" s="4"/>
      <c r="AO10" s="4"/>
      <c r="AP10" s="4"/>
      <c r="AQ10" s="4"/>
      <c r="AR10" s="4"/>
      <c r="AS10" s="4" t="s">
        <v>264</v>
      </c>
      <c r="AT10" s="4"/>
      <c r="AU10" s="4"/>
      <c r="AV10" s="4"/>
      <c r="AW10" s="4"/>
      <c r="AX10" s="4"/>
      <c r="AY10" s="4" t="s">
        <v>265</v>
      </c>
      <c r="AZ10" s="4"/>
      <c r="BA10" s="4"/>
      <c r="BB10" s="4"/>
      <c r="BC10" s="4"/>
      <c r="BD10" s="4"/>
      <c r="BE10" s="4" t="s">
        <v>266</v>
      </c>
      <c r="BF10" s="4"/>
      <c r="BG10" s="4"/>
      <c r="BH10" s="4"/>
      <c r="BI10" s="4"/>
      <c r="BJ10" s="4"/>
      <c r="BK10" s="4" t="s">
        <v>267</v>
      </c>
      <c r="BL10" s="4"/>
      <c r="BM10" s="4"/>
      <c r="BN10" s="4"/>
      <c r="BO10" s="4"/>
      <c r="BP10" s="4"/>
      <c r="BQ10" s="4" t="s">
        <v>268</v>
      </c>
      <c r="BR10" s="4"/>
      <c r="BS10" s="4"/>
      <c r="BT10" s="4"/>
      <c r="BU10" s="4"/>
      <c r="BV10" s="4"/>
      <c r="BW10" s="4" t="s">
        <v>269</v>
      </c>
      <c r="BX10" s="4"/>
      <c r="BY10" s="4"/>
      <c r="BZ10" s="4"/>
      <c r="CA10" s="4"/>
      <c r="CB10" s="4"/>
      <c r="CC10" s="4" t="s">
        <v>270</v>
      </c>
      <c r="CD10" s="4"/>
      <c r="CE10" s="4"/>
      <c r="CF10" s="4"/>
      <c r="CG10" s="4"/>
      <c r="CH10" s="4"/>
      <c r="CI10" s="4" t="s">
        <v>271</v>
      </c>
      <c r="CJ10" s="4"/>
      <c r="CK10" s="4"/>
      <c r="CL10" s="4"/>
      <c r="CM10" s="4"/>
      <c r="CN10" s="4"/>
      <c r="CO10" s="4" t="s">
        <v>272</v>
      </c>
      <c r="CP10" s="4"/>
      <c r="CQ10" s="4"/>
      <c r="CR10" s="4"/>
      <c r="CS10" s="4"/>
      <c r="CT10" s="4"/>
      <c r="CU10" s="4" t="s">
        <v>273</v>
      </c>
      <c r="CV10" s="4"/>
      <c r="CW10" s="4"/>
      <c r="CX10" s="4"/>
      <c r="CY10" s="4"/>
      <c r="CZ10" s="4"/>
      <c r="DA10" s="4" t="s">
        <v>274</v>
      </c>
      <c r="DB10" s="4"/>
      <c r="DC10" s="4"/>
      <c r="DD10" s="4"/>
      <c r="DE10" s="4"/>
      <c r="DF10" s="4"/>
      <c r="DG10" s="4" t="s">
        <v>275</v>
      </c>
      <c r="DH10" s="4"/>
      <c r="DI10" s="4"/>
      <c r="DJ10" s="4"/>
      <c r="DK10" s="4"/>
      <c r="DL10" s="4"/>
      <c r="DM10" s="4" t="s">
        <v>276</v>
      </c>
      <c r="DN10" s="4"/>
      <c r="DO10" s="4"/>
      <c r="DP10" s="4"/>
      <c r="DQ10" s="4"/>
      <c r="DR10" s="4"/>
    </row>
    <row r="11" spans="1:122" x14ac:dyDescent="0.2">
      <c r="A11" s="4"/>
      <c r="B11" s="5" t="s">
        <v>251</v>
      </c>
      <c r="C11" s="5">
        <v>1</v>
      </c>
      <c r="D11" s="5">
        <v>2</v>
      </c>
      <c r="E11" s="5">
        <v>3</v>
      </c>
      <c r="F11" s="5">
        <v>4</v>
      </c>
      <c r="G11" s="5">
        <v>5</v>
      </c>
      <c r="H11" s="5">
        <v>6</v>
      </c>
      <c r="I11" s="5">
        <v>1</v>
      </c>
      <c r="J11" s="5">
        <v>2</v>
      </c>
      <c r="K11" s="5">
        <v>3</v>
      </c>
      <c r="L11" s="5">
        <v>4</v>
      </c>
      <c r="M11" s="5">
        <v>5</v>
      </c>
      <c r="N11" s="5">
        <v>6</v>
      </c>
      <c r="O11" s="5">
        <v>1</v>
      </c>
      <c r="P11" s="5">
        <v>2</v>
      </c>
      <c r="Q11" s="5">
        <v>3</v>
      </c>
      <c r="R11" s="5">
        <v>4</v>
      </c>
      <c r="S11" s="5">
        <v>5</v>
      </c>
      <c r="T11" s="5">
        <v>6</v>
      </c>
      <c r="U11" s="5">
        <v>1</v>
      </c>
      <c r="V11" s="5">
        <v>2</v>
      </c>
      <c r="W11" s="5">
        <v>3</v>
      </c>
      <c r="X11" s="5">
        <v>4</v>
      </c>
      <c r="Y11" s="5">
        <v>5</v>
      </c>
      <c r="Z11" s="5">
        <v>6</v>
      </c>
      <c r="AA11" s="5">
        <v>1</v>
      </c>
      <c r="AB11" s="5">
        <v>2</v>
      </c>
      <c r="AC11" s="5">
        <v>3</v>
      </c>
      <c r="AD11" s="5">
        <v>4</v>
      </c>
      <c r="AE11" s="5">
        <v>5</v>
      </c>
      <c r="AF11" s="5">
        <v>6</v>
      </c>
      <c r="AG11" s="5">
        <v>1</v>
      </c>
      <c r="AH11" s="5">
        <v>2</v>
      </c>
      <c r="AI11" s="5">
        <v>3</v>
      </c>
      <c r="AJ11" s="5">
        <v>4</v>
      </c>
      <c r="AK11" s="5">
        <v>5</v>
      </c>
      <c r="AL11" s="5">
        <v>6</v>
      </c>
      <c r="AM11" s="5">
        <v>1</v>
      </c>
      <c r="AN11" s="5">
        <v>2</v>
      </c>
      <c r="AO11" s="5">
        <v>3</v>
      </c>
      <c r="AP11" s="5">
        <v>4</v>
      </c>
      <c r="AQ11" s="5">
        <v>5</v>
      </c>
      <c r="AR11" s="5">
        <v>6</v>
      </c>
      <c r="AS11" s="5">
        <v>1</v>
      </c>
      <c r="AT11" s="5">
        <v>2</v>
      </c>
      <c r="AU11" s="5">
        <v>3</v>
      </c>
      <c r="AV11" s="5">
        <v>4</v>
      </c>
      <c r="AW11" s="5">
        <v>5</v>
      </c>
      <c r="AX11" s="5">
        <v>6</v>
      </c>
      <c r="AY11" s="5">
        <v>1</v>
      </c>
      <c r="AZ11" s="5">
        <v>2</v>
      </c>
      <c r="BA11" s="5">
        <v>3</v>
      </c>
      <c r="BB11" s="5">
        <v>4</v>
      </c>
      <c r="BC11" s="5">
        <v>5</v>
      </c>
      <c r="BD11" s="5">
        <v>6</v>
      </c>
      <c r="BE11" s="5">
        <v>1</v>
      </c>
      <c r="BF11" s="5">
        <v>2</v>
      </c>
      <c r="BG11" s="5">
        <v>3</v>
      </c>
      <c r="BH11" s="5">
        <v>4</v>
      </c>
      <c r="BI11" s="5">
        <v>5</v>
      </c>
      <c r="BJ11" s="5">
        <v>6</v>
      </c>
      <c r="BK11" s="5">
        <v>1</v>
      </c>
      <c r="BL11" s="5">
        <v>2</v>
      </c>
      <c r="BM11" s="5">
        <v>3</v>
      </c>
      <c r="BN11" s="5">
        <v>4</v>
      </c>
      <c r="BO11" s="5">
        <v>5</v>
      </c>
      <c r="BP11" s="5">
        <v>6</v>
      </c>
      <c r="BQ11" s="5">
        <v>1</v>
      </c>
      <c r="BR11" s="5">
        <v>2</v>
      </c>
      <c r="BS11" s="5">
        <v>3</v>
      </c>
      <c r="BT11" s="5">
        <v>4</v>
      </c>
      <c r="BU11" s="5">
        <v>5</v>
      </c>
      <c r="BV11" s="5">
        <v>6</v>
      </c>
      <c r="BW11" s="5">
        <v>1</v>
      </c>
      <c r="BX11" s="5">
        <v>2</v>
      </c>
      <c r="BY11" s="5">
        <v>3</v>
      </c>
      <c r="BZ11" s="5">
        <v>4</v>
      </c>
      <c r="CA11" s="5">
        <v>5</v>
      </c>
      <c r="CB11" s="5">
        <v>6</v>
      </c>
      <c r="CC11" s="5">
        <v>1</v>
      </c>
      <c r="CD11" s="5">
        <v>2</v>
      </c>
      <c r="CE11" s="5">
        <v>3</v>
      </c>
      <c r="CF11" s="5">
        <v>4</v>
      </c>
      <c r="CG11" s="5">
        <v>5</v>
      </c>
      <c r="CH11" s="5">
        <v>6</v>
      </c>
      <c r="CI11" s="5">
        <v>1</v>
      </c>
      <c r="CJ11" s="5">
        <v>2</v>
      </c>
      <c r="CK11" s="5">
        <v>3</v>
      </c>
      <c r="CL11" s="5">
        <v>4</v>
      </c>
      <c r="CM11" s="5">
        <v>5</v>
      </c>
      <c r="CN11" s="5">
        <v>6</v>
      </c>
      <c r="CO11" s="5">
        <v>1</v>
      </c>
      <c r="CP11" s="5">
        <v>2</v>
      </c>
      <c r="CQ11" s="5">
        <v>3</v>
      </c>
      <c r="CR11" s="5">
        <v>4</v>
      </c>
      <c r="CS11" s="5">
        <v>5</v>
      </c>
      <c r="CT11" s="5">
        <v>6</v>
      </c>
      <c r="CU11" s="5">
        <v>1</v>
      </c>
      <c r="CV11" s="5">
        <v>2</v>
      </c>
      <c r="CW11" s="5">
        <v>3</v>
      </c>
      <c r="CX11" s="5">
        <v>4</v>
      </c>
      <c r="CY11" s="5">
        <v>5</v>
      </c>
      <c r="CZ11" s="5">
        <v>6</v>
      </c>
      <c r="DA11" s="5">
        <v>1</v>
      </c>
      <c r="DB11" s="5">
        <v>2</v>
      </c>
      <c r="DC11" s="5">
        <v>3</v>
      </c>
      <c r="DD11" s="5">
        <v>4</v>
      </c>
      <c r="DE11" s="5">
        <v>5</v>
      </c>
      <c r="DF11" s="5">
        <v>6</v>
      </c>
      <c r="DG11" s="5">
        <v>1</v>
      </c>
      <c r="DH11" s="5">
        <v>2</v>
      </c>
      <c r="DI11" s="5">
        <v>3</v>
      </c>
      <c r="DJ11" s="5">
        <v>4</v>
      </c>
      <c r="DK11" s="5">
        <v>5</v>
      </c>
      <c r="DL11" s="5">
        <v>6</v>
      </c>
      <c r="DM11" s="5">
        <v>1</v>
      </c>
      <c r="DN11" s="5">
        <v>2</v>
      </c>
      <c r="DO11" s="5">
        <v>3</v>
      </c>
      <c r="DP11" s="5">
        <v>4</v>
      </c>
      <c r="DQ11" s="5">
        <v>5</v>
      </c>
      <c r="DR11" s="5">
        <v>6</v>
      </c>
    </row>
    <row r="12" spans="1:122" x14ac:dyDescent="0.2">
      <c r="A12" s="4"/>
      <c r="B12" s="5" t="s">
        <v>252</v>
      </c>
      <c r="C12" s="6">
        <v>-93972.5</v>
      </c>
      <c r="D12" s="6">
        <v>-93972.5</v>
      </c>
      <c r="E12" s="6">
        <v>-93000</v>
      </c>
      <c r="F12" s="6">
        <v>-93000</v>
      </c>
      <c r="G12" s="6">
        <v>-92027.5</v>
      </c>
      <c r="H12" s="6">
        <v>-92027.5</v>
      </c>
      <c r="I12" s="6">
        <v>-83851.399999999994</v>
      </c>
      <c r="J12" s="6">
        <v>-83851.399999999994</v>
      </c>
      <c r="K12" s="6">
        <v>-83000</v>
      </c>
      <c r="L12" s="6">
        <v>-83000</v>
      </c>
      <c r="M12" s="6">
        <v>-82148.600000000006</v>
      </c>
      <c r="N12" s="6">
        <v>-82148.600000000006</v>
      </c>
      <c r="O12" s="6">
        <v>-77779.100000000006</v>
      </c>
      <c r="P12" s="6">
        <v>-77779.100000000006</v>
      </c>
      <c r="Q12" s="6">
        <v>-77000</v>
      </c>
      <c r="R12" s="6">
        <v>-77000</v>
      </c>
      <c r="S12" s="6">
        <v>-76220.899999999994</v>
      </c>
      <c r="T12" s="6">
        <v>-76220.899999999994</v>
      </c>
      <c r="U12" s="6">
        <v>-69000</v>
      </c>
      <c r="V12" s="6">
        <v>-69000</v>
      </c>
      <c r="W12" s="6">
        <v>-68998.599999999991</v>
      </c>
      <c r="X12" s="6">
        <v>-68998.599999999991</v>
      </c>
      <c r="Y12" s="6">
        <v>-68998.5</v>
      </c>
      <c r="Z12" s="6">
        <v>-68998.5</v>
      </c>
      <c r="AA12" s="6">
        <v>-59566.8</v>
      </c>
      <c r="AB12" s="6">
        <v>-59566.8</v>
      </c>
      <c r="AC12" s="6">
        <v>-59000</v>
      </c>
      <c r="AD12" s="6">
        <v>-59000</v>
      </c>
      <c r="AE12" s="6">
        <v>-58433.2</v>
      </c>
      <c r="AF12" s="6">
        <v>-58433.2</v>
      </c>
      <c r="AG12" s="6">
        <v>-50464.6</v>
      </c>
      <c r="AH12" s="6">
        <v>-50464.6</v>
      </c>
      <c r="AI12" s="6">
        <v>-50000</v>
      </c>
      <c r="AJ12" s="6">
        <v>-50000</v>
      </c>
      <c r="AK12" s="6">
        <v>-49535.4</v>
      </c>
      <c r="AL12" s="6">
        <v>-49535.4</v>
      </c>
      <c r="AM12" s="6">
        <v>-40355.800000000003</v>
      </c>
      <c r="AN12" s="6">
        <v>-40355.800000000003</v>
      </c>
      <c r="AO12" s="6">
        <v>-40000</v>
      </c>
      <c r="AP12" s="6">
        <v>-40000</v>
      </c>
      <c r="AQ12" s="6">
        <v>-39644.199999999997</v>
      </c>
      <c r="AR12" s="6">
        <v>-39644.199999999997</v>
      </c>
      <c r="AS12" s="6">
        <v>-28738.7</v>
      </c>
      <c r="AT12" s="6">
        <v>-28738.7</v>
      </c>
      <c r="AU12" s="6">
        <v>-28500</v>
      </c>
      <c r="AV12" s="6">
        <v>-28500</v>
      </c>
      <c r="AW12" s="6">
        <v>-28261.3</v>
      </c>
      <c r="AX12" s="6">
        <v>-28261.3</v>
      </c>
      <c r="AY12" s="6">
        <v>-16123.9</v>
      </c>
      <c r="AZ12" s="6">
        <v>-16123.9</v>
      </c>
      <c r="BA12" s="6">
        <v>-16000</v>
      </c>
      <c r="BB12" s="6">
        <v>-16000</v>
      </c>
      <c r="BC12" s="6">
        <v>-15876.099999999999</v>
      </c>
      <c r="BD12" s="6">
        <v>-15876.099999999999</v>
      </c>
      <c r="BE12" s="6">
        <v>-5035.5999999999995</v>
      </c>
      <c r="BF12" s="6">
        <v>-5035.5999999999995</v>
      </c>
      <c r="BG12" s="6">
        <v>-5000</v>
      </c>
      <c r="BH12" s="6">
        <v>-5000</v>
      </c>
      <c r="BI12" s="6">
        <v>-4964.4000000000005</v>
      </c>
      <c r="BJ12" s="6">
        <v>-4964.4000000000005</v>
      </c>
      <c r="BK12" s="6">
        <v>4964.4000000000005</v>
      </c>
      <c r="BL12" s="6">
        <v>4964.4000000000005</v>
      </c>
      <c r="BM12" s="6">
        <v>5000</v>
      </c>
      <c r="BN12" s="6">
        <v>5000</v>
      </c>
      <c r="BO12" s="6">
        <v>5035.5999999999995</v>
      </c>
      <c r="BP12" s="6">
        <v>5035.5999999999995</v>
      </c>
      <c r="BQ12" s="6">
        <v>15876.099999999999</v>
      </c>
      <c r="BR12" s="6">
        <v>15876.099999999999</v>
      </c>
      <c r="BS12" s="6">
        <v>16000</v>
      </c>
      <c r="BT12" s="6">
        <v>16000</v>
      </c>
      <c r="BU12" s="6">
        <v>16123.9</v>
      </c>
      <c r="BV12" s="6">
        <v>16123.9</v>
      </c>
      <c r="BW12" s="6">
        <v>28261.3</v>
      </c>
      <c r="BX12" s="6">
        <v>28261.3</v>
      </c>
      <c r="BY12" s="6">
        <v>28500</v>
      </c>
      <c r="BZ12" s="6">
        <v>28500</v>
      </c>
      <c r="CA12" s="6">
        <v>28738.7</v>
      </c>
      <c r="CB12" s="6">
        <v>28738.7</v>
      </c>
      <c r="CC12" s="6">
        <v>39644.199999999997</v>
      </c>
      <c r="CD12" s="6">
        <v>39644.199999999997</v>
      </c>
      <c r="CE12" s="6">
        <v>40000</v>
      </c>
      <c r="CF12" s="6">
        <v>40000</v>
      </c>
      <c r="CG12" s="6">
        <v>40355.800000000003</v>
      </c>
      <c r="CH12" s="6">
        <v>40355.800000000003</v>
      </c>
      <c r="CI12" s="6">
        <v>49535.4</v>
      </c>
      <c r="CJ12" s="6">
        <v>49535.4</v>
      </c>
      <c r="CK12" s="6">
        <v>50000</v>
      </c>
      <c r="CL12" s="6">
        <v>50000</v>
      </c>
      <c r="CM12" s="6">
        <v>50464.6</v>
      </c>
      <c r="CN12" s="6">
        <v>50464.6</v>
      </c>
      <c r="CO12" s="6">
        <v>58433.2</v>
      </c>
      <c r="CP12" s="6">
        <v>58433.2</v>
      </c>
      <c r="CQ12" s="6">
        <v>59000</v>
      </c>
      <c r="CR12" s="6">
        <v>59000</v>
      </c>
      <c r="CS12" s="6">
        <v>59566.8</v>
      </c>
      <c r="CT12" s="6">
        <v>59566.8</v>
      </c>
      <c r="CU12" s="6">
        <v>68998.5</v>
      </c>
      <c r="CV12" s="6">
        <v>68998.5</v>
      </c>
      <c r="CW12" s="6">
        <v>68998.599999999991</v>
      </c>
      <c r="CX12" s="6">
        <v>68998.599999999991</v>
      </c>
      <c r="CY12" s="6">
        <v>69000</v>
      </c>
      <c r="CZ12" s="6">
        <v>69000</v>
      </c>
      <c r="DA12" s="6">
        <v>76220.899999999994</v>
      </c>
      <c r="DB12" s="6">
        <v>76220.899999999994</v>
      </c>
      <c r="DC12" s="6">
        <v>77000</v>
      </c>
      <c r="DD12" s="6">
        <v>77000</v>
      </c>
      <c r="DE12" s="6">
        <v>77779.100000000006</v>
      </c>
      <c r="DF12" s="6">
        <v>77779.100000000006</v>
      </c>
      <c r="DG12" s="6">
        <v>82148.600000000006</v>
      </c>
      <c r="DH12" s="6">
        <v>82148.600000000006</v>
      </c>
      <c r="DI12" s="6">
        <v>83000</v>
      </c>
      <c r="DJ12" s="6">
        <v>83000</v>
      </c>
      <c r="DK12" s="6">
        <v>83851.399999999994</v>
      </c>
      <c r="DL12" s="6">
        <v>83851.399999999994</v>
      </c>
      <c r="DM12" s="6">
        <v>92027.5</v>
      </c>
      <c r="DN12" s="6">
        <v>92027.5</v>
      </c>
      <c r="DO12" s="6">
        <v>93000</v>
      </c>
      <c r="DP12" s="6">
        <v>93000</v>
      </c>
      <c r="DQ12" s="6">
        <v>93972.5</v>
      </c>
      <c r="DR12" s="6">
        <v>93972.5</v>
      </c>
    </row>
    <row r="13" spans="1:122" x14ac:dyDescent="0.2">
      <c r="A13" s="4"/>
      <c r="B13" s="5" t="s">
        <v>256</v>
      </c>
      <c r="C13" s="6">
        <v>-13062.2</v>
      </c>
      <c r="D13" s="6">
        <v>-14626</v>
      </c>
      <c r="E13" s="6">
        <v>-12909.2</v>
      </c>
      <c r="F13" s="6">
        <v>-15363.2</v>
      </c>
      <c r="G13" s="6">
        <v>-13646.4</v>
      </c>
      <c r="H13" s="6">
        <v>-15210.3</v>
      </c>
      <c r="I13" s="6">
        <v>-11899.300000000001</v>
      </c>
      <c r="J13" s="6">
        <v>-13506.1</v>
      </c>
      <c r="K13" s="6">
        <v>-11762.3</v>
      </c>
      <c r="L13" s="6">
        <v>-14216.300000000001</v>
      </c>
      <c r="M13" s="6">
        <v>-12472.4</v>
      </c>
      <c r="N13" s="6">
        <v>-14079.2</v>
      </c>
      <c r="O13" s="6">
        <v>-11264.8</v>
      </c>
      <c r="P13" s="6">
        <v>-12897.3</v>
      </c>
      <c r="Q13" s="6">
        <v>-11136.699999999999</v>
      </c>
      <c r="R13" s="6">
        <v>-13590.7</v>
      </c>
      <c r="S13" s="6">
        <v>-11830.1</v>
      </c>
      <c r="T13" s="6">
        <v>-13462.6</v>
      </c>
      <c r="U13" s="6">
        <v>-10375.5</v>
      </c>
      <c r="V13" s="6">
        <v>-12829.599999999999</v>
      </c>
      <c r="W13" s="6">
        <v>-10430.799999999999</v>
      </c>
      <c r="X13" s="6">
        <v>-12100.6</v>
      </c>
      <c r="Y13" s="6">
        <v>-11110.300000000001</v>
      </c>
      <c r="Z13" s="6">
        <v>-12774.300000000001</v>
      </c>
      <c r="AA13" s="6">
        <v>-9645.0999999999985</v>
      </c>
      <c r="AB13" s="6">
        <v>-11355</v>
      </c>
      <c r="AC13" s="6">
        <v>-9541.4</v>
      </c>
      <c r="AD13" s="6">
        <v>-11995.5</v>
      </c>
      <c r="AE13" s="6">
        <v>-10181.800000000001</v>
      </c>
      <c r="AF13" s="6">
        <v>-11891.7</v>
      </c>
      <c r="AG13" s="6">
        <v>-8995.3000000000011</v>
      </c>
      <c r="AH13" s="6">
        <v>-10743.800000000001</v>
      </c>
      <c r="AI13" s="6">
        <v>-8902.1</v>
      </c>
      <c r="AJ13" s="6">
        <v>-11356.199999999999</v>
      </c>
      <c r="AK13" s="6">
        <v>-9514.5</v>
      </c>
      <c r="AL13" s="6">
        <v>-11263</v>
      </c>
      <c r="AM13" s="6">
        <v>-8398.4</v>
      </c>
      <c r="AN13" s="6">
        <v>-10189.9</v>
      </c>
      <c r="AO13" s="6">
        <v>-8315.6</v>
      </c>
      <c r="AP13" s="6">
        <v>-10769.7</v>
      </c>
      <c r="AQ13" s="6">
        <v>-8895.4</v>
      </c>
      <c r="AR13" s="6">
        <v>-10686.9</v>
      </c>
      <c r="AS13" s="6">
        <v>-7874.9000000000005</v>
      </c>
      <c r="AT13" s="6">
        <v>-9715.7000000000007</v>
      </c>
      <c r="AU13" s="6">
        <v>-7802.3</v>
      </c>
      <c r="AV13" s="6">
        <v>-10256.299999999999</v>
      </c>
      <c r="AW13" s="6">
        <v>-8342.9</v>
      </c>
      <c r="AX13" s="6">
        <v>-10183.700000000001</v>
      </c>
      <c r="AY13" s="6">
        <v>-7503.3</v>
      </c>
      <c r="AZ13" s="6">
        <v>-9397.9</v>
      </c>
      <c r="BA13" s="6">
        <v>-7439.8</v>
      </c>
      <c r="BB13" s="6">
        <v>-9893.9</v>
      </c>
      <c r="BC13" s="6">
        <v>-7935.8</v>
      </c>
      <c r="BD13" s="6">
        <v>-9830.2999999999993</v>
      </c>
      <c r="BE13" s="6">
        <v>-7346.4</v>
      </c>
      <c r="BF13" s="6">
        <v>-9288.1</v>
      </c>
      <c r="BG13" s="6">
        <v>-7289.3</v>
      </c>
      <c r="BH13" s="6">
        <v>-9743.2999999999993</v>
      </c>
      <c r="BI13" s="6">
        <v>-7744.4</v>
      </c>
      <c r="BJ13" s="6">
        <v>-9686.1999999999989</v>
      </c>
      <c r="BK13" s="6">
        <v>-7744.4</v>
      </c>
      <c r="BL13" s="6">
        <v>-9686.1999999999989</v>
      </c>
      <c r="BM13" s="6">
        <v>-7289.3</v>
      </c>
      <c r="BN13" s="6">
        <v>-9743.2999999999993</v>
      </c>
      <c r="BO13" s="6">
        <v>-7346.4</v>
      </c>
      <c r="BP13" s="6">
        <v>-9288.1</v>
      </c>
      <c r="BQ13" s="6">
        <v>-7935.8</v>
      </c>
      <c r="BR13" s="6">
        <v>-9830.2999999999993</v>
      </c>
      <c r="BS13" s="6">
        <v>-7439.8</v>
      </c>
      <c r="BT13" s="6">
        <v>-9893.9</v>
      </c>
      <c r="BU13" s="6">
        <v>-7503.3</v>
      </c>
      <c r="BV13" s="6">
        <v>-9397.9</v>
      </c>
      <c r="BW13" s="6">
        <v>-8342.9</v>
      </c>
      <c r="BX13" s="6">
        <v>-10183.700000000001</v>
      </c>
      <c r="BY13" s="6">
        <v>-7802.3</v>
      </c>
      <c r="BZ13" s="6">
        <v>-10256.299999999999</v>
      </c>
      <c r="CA13" s="6">
        <v>-7874.9000000000005</v>
      </c>
      <c r="CB13" s="6">
        <v>-9715.7000000000007</v>
      </c>
      <c r="CC13" s="6">
        <v>-8895.4</v>
      </c>
      <c r="CD13" s="6">
        <v>-10686.9</v>
      </c>
      <c r="CE13" s="6">
        <v>-8315.6</v>
      </c>
      <c r="CF13" s="6">
        <v>-10769.7</v>
      </c>
      <c r="CG13" s="6">
        <v>-8398.4</v>
      </c>
      <c r="CH13" s="6">
        <v>-10189.9</v>
      </c>
      <c r="CI13" s="6">
        <v>-9514.5</v>
      </c>
      <c r="CJ13" s="6">
        <v>-11263</v>
      </c>
      <c r="CK13" s="6">
        <v>-8902.1</v>
      </c>
      <c r="CL13" s="6">
        <v>-11356.199999999999</v>
      </c>
      <c r="CM13" s="6">
        <v>-8995.3000000000011</v>
      </c>
      <c r="CN13" s="6">
        <v>-10743.800000000001</v>
      </c>
      <c r="CO13" s="6">
        <v>-10181.800000000001</v>
      </c>
      <c r="CP13" s="6">
        <v>-11891.7</v>
      </c>
      <c r="CQ13" s="6">
        <v>-9541.4</v>
      </c>
      <c r="CR13" s="6">
        <v>-11995.5</v>
      </c>
      <c r="CS13" s="6">
        <v>-9645.0999999999985</v>
      </c>
      <c r="CT13" s="6">
        <v>-11355</v>
      </c>
      <c r="CU13" s="6">
        <v>-11110.300000000001</v>
      </c>
      <c r="CV13" s="6">
        <v>-12774.300000000001</v>
      </c>
      <c r="CW13" s="6">
        <v>-10430.799999999999</v>
      </c>
      <c r="CX13" s="6">
        <v>-12100.6</v>
      </c>
      <c r="CY13" s="6">
        <v>-10375.5</v>
      </c>
      <c r="CZ13" s="6">
        <v>-12829.599999999999</v>
      </c>
      <c r="DA13" s="6">
        <v>-11830.1</v>
      </c>
      <c r="DB13" s="6">
        <v>-13462.6</v>
      </c>
      <c r="DC13" s="6">
        <v>-11136.699999999999</v>
      </c>
      <c r="DD13" s="6">
        <v>-13590.7</v>
      </c>
      <c r="DE13" s="6">
        <v>-11264.8</v>
      </c>
      <c r="DF13" s="6">
        <v>-12897.3</v>
      </c>
      <c r="DG13" s="6">
        <v>-12472.4</v>
      </c>
      <c r="DH13" s="6">
        <v>-14079.2</v>
      </c>
      <c r="DI13" s="6">
        <v>-11762.3</v>
      </c>
      <c r="DJ13" s="6">
        <v>-14216.300000000001</v>
      </c>
      <c r="DK13" s="6">
        <v>-11899.300000000001</v>
      </c>
      <c r="DL13" s="6">
        <v>-13506.1</v>
      </c>
      <c r="DM13" s="6">
        <v>-13646.4</v>
      </c>
      <c r="DN13" s="6">
        <v>-15210.3</v>
      </c>
      <c r="DO13" s="6">
        <v>-12909.2</v>
      </c>
      <c r="DP13" s="6">
        <v>-15363.2</v>
      </c>
      <c r="DQ13" s="6">
        <v>-13062.2</v>
      </c>
      <c r="DR13" s="6">
        <v>-14626</v>
      </c>
    </row>
    <row r="14" spans="1:122" x14ac:dyDescent="0.2">
      <c r="A14" s="4"/>
      <c r="B14" s="5" t="s">
        <v>257</v>
      </c>
      <c r="C14" s="6">
        <v>4355.1000000000004</v>
      </c>
      <c r="D14" s="6">
        <v>4659.0999999999995</v>
      </c>
      <c r="E14" s="6">
        <v>2765.7</v>
      </c>
      <c r="F14" s="6">
        <v>3242.7000000000003</v>
      </c>
      <c r="G14" s="6">
        <v>1349.3999999999999</v>
      </c>
      <c r="H14" s="6">
        <v>1653.4</v>
      </c>
      <c r="I14" s="6">
        <v>10222.6</v>
      </c>
      <c r="J14" s="6">
        <v>10534.9</v>
      </c>
      <c r="K14" s="6">
        <v>8666.1</v>
      </c>
      <c r="L14" s="6">
        <v>9143.1</v>
      </c>
      <c r="M14" s="6">
        <v>7274.3</v>
      </c>
      <c r="N14" s="6">
        <v>7586.7000000000007</v>
      </c>
      <c r="O14" s="6">
        <v>13418.5</v>
      </c>
      <c r="P14" s="6">
        <v>13735.8</v>
      </c>
      <c r="Q14" s="6">
        <v>11884.5</v>
      </c>
      <c r="R14" s="6">
        <v>12361.5</v>
      </c>
      <c r="S14" s="6">
        <v>10510.199999999999</v>
      </c>
      <c r="T14" s="6">
        <v>10827.6</v>
      </c>
      <c r="U14" s="6">
        <v>15800.2</v>
      </c>
      <c r="V14" s="6">
        <v>16277.300000000001</v>
      </c>
      <c r="W14" s="6">
        <v>17609.5</v>
      </c>
      <c r="X14" s="6">
        <v>17934.100000000002</v>
      </c>
      <c r="Y14" s="6">
        <v>14129.2</v>
      </c>
      <c r="Z14" s="6">
        <v>14452.7</v>
      </c>
      <c r="AA14" s="6">
        <v>21544.3</v>
      </c>
      <c r="AB14" s="6">
        <v>21876.6</v>
      </c>
      <c r="AC14" s="6">
        <v>20091.400000000001</v>
      </c>
      <c r="AD14" s="6">
        <v>20568.5</v>
      </c>
      <c r="AE14" s="6">
        <v>18783.3</v>
      </c>
      <c r="AF14" s="6">
        <v>19115.600000000002</v>
      </c>
      <c r="AG14" s="6">
        <v>24784.199999999997</v>
      </c>
      <c r="AH14" s="6">
        <v>25124</v>
      </c>
      <c r="AI14" s="6">
        <v>23380.199999999997</v>
      </c>
      <c r="AJ14" s="6">
        <v>23857.3</v>
      </c>
      <c r="AK14" s="6">
        <v>22113.5</v>
      </c>
      <c r="AL14" s="6">
        <v>22453.3</v>
      </c>
      <c r="AM14" s="6">
        <v>27740.2</v>
      </c>
      <c r="AN14" s="6">
        <v>28088.5</v>
      </c>
      <c r="AO14" s="6">
        <v>26397.5</v>
      </c>
      <c r="AP14" s="6">
        <v>26874.5</v>
      </c>
      <c r="AQ14" s="6">
        <v>25183.5</v>
      </c>
      <c r="AR14" s="6">
        <v>25531.8</v>
      </c>
      <c r="AS14" s="6">
        <v>30301.8</v>
      </c>
      <c r="AT14" s="6">
        <v>30659.7</v>
      </c>
      <c r="AU14" s="6">
        <v>29038.399999999998</v>
      </c>
      <c r="AV14" s="6">
        <v>29515.4</v>
      </c>
      <c r="AW14" s="6">
        <v>27894.2</v>
      </c>
      <c r="AX14" s="6">
        <v>28252</v>
      </c>
      <c r="AY14" s="6">
        <v>32070.099999999995</v>
      </c>
      <c r="AZ14" s="6">
        <v>32438.3</v>
      </c>
      <c r="BA14" s="6">
        <v>30903.199999999997</v>
      </c>
      <c r="BB14" s="6">
        <v>31380.3</v>
      </c>
      <c r="BC14" s="6">
        <v>29845.199999999997</v>
      </c>
      <c r="BD14" s="6">
        <v>30213.5</v>
      </c>
      <c r="BE14" s="6">
        <v>32751.399999999998</v>
      </c>
      <c r="BF14" s="6">
        <v>33128.9</v>
      </c>
      <c r="BG14" s="6">
        <v>31677.7</v>
      </c>
      <c r="BH14" s="6">
        <v>32154.699999999997</v>
      </c>
      <c r="BI14" s="6">
        <v>30703.5</v>
      </c>
      <c r="BJ14" s="6">
        <v>31080.9</v>
      </c>
      <c r="BK14" s="6">
        <v>30703.5</v>
      </c>
      <c r="BL14" s="6">
        <v>31080.9</v>
      </c>
      <c r="BM14" s="6">
        <v>31677.7</v>
      </c>
      <c r="BN14" s="6">
        <v>32154.699999999997</v>
      </c>
      <c r="BO14" s="6">
        <v>32751.399999999998</v>
      </c>
      <c r="BP14" s="6">
        <v>33128.9</v>
      </c>
      <c r="BQ14" s="6">
        <v>29845.199999999997</v>
      </c>
      <c r="BR14" s="6">
        <v>30213.5</v>
      </c>
      <c r="BS14" s="6">
        <v>30903.199999999997</v>
      </c>
      <c r="BT14" s="6">
        <v>31380.3</v>
      </c>
      <c r="BU14" s="6">
        <v>32070.099999999995</v>
      </c>
      <c r="BV14" s="6">
        <v>32438.3</v>
      </c>
      <c r="BW14" s="6">
        <v>27894.2</v>
      </c>
      <c r="BX14" s="6">
        <v>28252</v>
      </c>
      <c r="BY14" s="6">
        <v>29038.399999999998</v>
      </c>
      <c r="BZ14" s="6">
        <v>29515.4</v>
      </c>
      <c r="CA14" s="6">
        <v>30301.8</v>
      </c>
      <c r="CB14" s="6">
        <v>30659.7</v>
      </c>
      <c r="CC14" s="6">
        <v>25183.5</v>
      </c>
      <c r="CD14" s="6">
        <v>25531.8</v>
      </c>
      <c r="CE14" s="6">
        <v>26397.5</v>
      </c>
      <c r="CF14" s="6">
        <v>26874.5</v>
      </c>
      <c r="CG14" s="6">
        <v>27740.2</v>
      </c>
      <c r="CH14" s="6">
        <v>28088.5</v>
      </c>
      <c r="CI14" s="6">
        <v>22113.5</v>
      </c>
      <c r="CJ14" s="6">
        <v>22453.3</v>
      </c>
      <c r="CK14" s="6">
        <v>23380.199999999997</v>
      </c>
      <c r="CL14" s="6">
        <v>23857.3</v>
      </c>
      <c r="CM14" s="6">
        <v>24784.199999999997</v>
      </c>
      <c r="CN14" s="6">
        <v>25124</v>
      </c>
      <c r="CO14" s="6">
        <v>18783.3</v>
      </c>
      <c r="CP14" s="6">
        <v>19115.600000000002</v>
      </c>
      <c r="CQ14" s="6">
        <v>20091.400000000001</v>
      </c>
      <c r="CR14" s="6">
        <v>20568.5</v>
      </c>
      <c r="CS14" s="6">
        <v>21544.3</v>
      </c>
      <c r="CT14" s="6">
        <v>21876.6</v>
      </c>
      <c r="CU14" s="6">
        <v>14129.2</v>
      </c>
      <c r="CV14" s="6">
        <v>14452.7</v>
      </c>
      <c r="CW14" s="6">
        <v>17609.5</v>
      </c>
      <c r="CX14" s="6">
        <v>17934.100000000002</v>
      </c>
      <c r="CY14" s="6">
        <v>15800.2</v>
      </c>
      <c r="CZ14" s="6">
        <v>16277.300000000001</v>
      </c>
      <c r="DA14" s="6">
        <v>10510.199999999999</v>
      </c>
      <c r="DB14" s="6">
        <v>10827.6</v>
      </c>
      <c r="DC14" s="6">
        <v>11884.5</v>
      </c>
      <c r="DD14" s="6">
        <v>12361.5</v>
      </c>
      <c r="DE14" s="6">
        <v>13418.5</v>
      </c>
      <c r="DF14" s="6">
        <v>13735.8</v>
      </c>
      <c r="DG14" s="6">
        <v>7274.3</v>
      </c>
      <c r="DH14" s="6">
        <v>7586.7000000000007</v>
      </c>
      <c r="DI14" s="6">
        <v>8666.1</v>
      </c>
      <c r="DJ14" s="6">
        <v>9143.1</v>
      </c>
      <c r="DK14" s="6">
        <v>10222.6</v>
      </c>
      <c r="DL14" s="6">
        <v>10534.9</v>
      </c>
      <c r="DM14" s="6">
        <v>1349.3999999999999</v>
      </c>
      <c r="DN14" s="6">
        <v>1653.4</v>
      </c>
      <c r="DO14" s="6">
        <v>2765.7</v>
      </c>
      <c r="DP14" s="6">
        <v>3242.7000000000003</v>
      </c>
      <c r="DQ14" s="6">
        <v>4355.1000000000004</v>
      </c>
      <c r="DR14" s="6">
        <v>4659.0999999999995</v>
      </c>
    </row>
    <row r="15" spans="1:122" x14ac:dyDescent="0.2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</row>
    <row r="16" spans="1:122" x14ac:dyDescent="0.2">
      <c r="A16" s="4" t="s">
        <v>277</v>
      </c>
      <c r="B16" s="5" t="s">
        <v>250</v>
      </c>
      <c r="C16" s="4" t="s">
        <v>278</v>
      </c>
      <c r="D16" s="4"/>
      <c r="E16" s="4"/>
      <c r="F16" s="4"/>
      <c r="G16" s="4"/>
      <c r="H16" s="4"/>
      <c r="I16" s="4" t="s">
        <v>279</v>
      </c>
      <c r="J16" s="4"/>
      <c r="K16" s="4"/>
      <c r="L16" s="4"/>
      <c r="M16" s="4"/>
      <c r="N16" s="4"/>
      <c r="O16" s="4" t="s">
        <v>280</v>
      </c>
      <c r="P16" s="4"/>
      <c r="Q16" s="4"/>
      <c r="R16" s="4"/>
      <c r="S16" s="4"/>
      <c r="T16" s="4"/>
      <c r="U16" s="4" t="s">
        <v>281</v>
      </c>
      <c r="V16" s="4"/>
      <c r="W16" s="4"/>
      <c r="X16" s="4"/>
      <c r="Y16" s="4"/>
      <c r="Z16" s="4"/>
      <c r="AA16" s="4" t="s">
        <v>282</v>
      </c>
      <c r="AB16" s="4"/>
      <c r="AC16" s="4"/>
      <c r="AD16" s="4"/>
      <c r="AE16" s="4"/>
      <c r="AF16" s="4"/>
      <c r="AG16" s="4" t="s">
        <v>283</v>
      </c>
      <c r="AH16" s="4"/>
      <c r="AI16" s="4"/>
      <c r="AJ16" s="4"/>
      <c r="AK16" s="4"/>
      <c r="AL16" s="4"/>
      <c r="AM16" s="4" t="s">
        <v>284</v>
      </c>
      <c r="AN16" s="4"/>
      <c r="AO16" s="4"/>
      <c r="AP16" s="4"/>
      <c r="AQ16" s="4"/>
      <c r="AR16" s="4"/>
      <c r="AS16" s="4" t="s">
        <v>285</v>
      </c>
      <c r="AT16" s="4"/>
      <c r="AU16" s="4"/>
      <c r="AV16" s="4"/>
      <c r="AW16" s="4"/>
      <c r="AX16" s="4"/>
      <c r="AY16" s="4" t="s">
        <v>286</v>
      </c>
      <c r="AZ16" s="4"/>
      <c r="BA16" s="4"/>
      <c r="BB16" s="4"/>
      <c r="BC16" s="4"/>
      <c r="BD16" s="4"/>
      <c r="BE16" s="4" t="s">
        <v>287</v>
      </c>
      <c r="BF16" s="4"/>
      <c r="BG16" s="4"/>
      <c r="BH16" s="4"/>
      <c r="BI16" s="4"/>
      <c r="BJ16" s="4"/>
      <c r="BK16" s="4" t="s">
        <v>288</v>
      </c>
      <c r="BL16" s="4"/>
      <c r="BM16" s="4"/>
      <c r="BN16" s="4"/>
      <c r="BO16" s="4"/>
      <c r="BP16" s="4"/>
      <c r="BQ16" s="4" t="s">
        <v>289</v>
      </c>
      <c r="BR16" s="4"/>
      <c r="BS16" s="4"/>
      <c r="BT16" s="4"/>
      <c r="BU16" s="4"/>
      <c r="BV16" s="4"/>
      <c r="BW16" s="4" t="s">
        <v>290</v>
      </c>
      <c r="BX16" s="4"/>
      <c r="BY16" s="4"/>
      <c r="BZ16" s="4"/>
      <c r="CA16" s="4"/>
      <c r="CB16" s="4"/>
      <c r="CC16" s="4" t="s">
        <v>291</v>
      </c>
      <c r="CD16" s="4"/>
      <c r="CE16" s="4"/>
      <c r="CF16" s="4"/>
      <c r="CG16" s="4"/>
      <c r="CH16" s="4"/>
      <c r="CI16" s="4" t="s">
        <v>292</v>
      </c>
      <c r="CJ16" s="4"/>
      <c r="CK16" s="4"/>
      <c r="CL16" s="4"/>
      <c r="CM16" s="4"/>
      <c r="CN16" s="4"/>
      <c r="CO16" s="4" t="s">
        <v>293</v>
      </c>
      <c r="CP16" s="4"/>
      <c r="CQ16" s="4"/>
      <c r="CR16" s="4"/>
      <c r="CS16" s="4"/>
      <c r="CT16" s="4"/>
      <c r="CU16" s="4" t="s">
        <v>294</v>
      </c>
      <c r="CV16" s="4"/>
      <c r="CW16" s="4"/>
      <c r="CX16" s="4"/>
      <c r="CY16" s="4"/>
      <c r="CZ16" s="4"/>
      <c r="DA16" s="4" t="s">
        <v>295</v>
      </c>
      <c r="DB16" s="4"/>
      <c r="DC16" s="4"/>
      <c r="DD16" s="4"/>
      <c r="DE16" s="4"/>
      <c r="DF16" s="4"/>
      <c r="DG16" s="4" t="s">
        <v>296</v>
      </c>
      <c r="DH16" s="4"/>
      <c r="DI16" s="4"/>
      <c r="DJ16" s="4"/>
      <c r="DK16" s="4"/>
      <c r="DL16" s="4"/>
      <c r="DM16" s="4" t="s">
        <v>297</v>
      </c>
      <c r="DN16" s="4"/>
      <c r="DO16" s="4"/>
      <c r="DP16" s="4"/>
      <c r="DQ16" s="4"/>
      <c r="DR16" s="4"/>
    </row>
    <row r="17" spans="1:122" x14ac:dyDescent="0.2">
      <c r="A17" s="4"/>
      <c r="B17" s="5" t="s">
        <v>251</v>
      </c>
      <c r="C17" s="5">
        <v>1</v>
      </c>
      <c r="D17" s="5">
        <v>2</v>
      </c>
      <c r="E17" s="5">
        <v>3</v>
      </c>
      <c r="F17" s="5">
        <v>4</v>
      </c>
      <c r="G17" s="5">
        <v>5</v>
      </c>
      <c r="H17" s="5">
        <v>6</v>
      </c>
      <c r="I17" s="5">
        <v>1</v>
      </c>
      <c r="J17" s="5">
        <v>2</v>
      </c>
      <c r="K17" s="5">
        <v>3</v>
      </c>
      <c r="L17" s="5">
        <v>4</v>
      </c>
      <c r="M17" s="5">
        <v>5</v>
      </c>
      <c r="N17" s="5">
        <v>6</v>
      </c>
      <c r="O17" s="5">
        <v>1</v>
      </c>
      <c r="P17" s="5">
        <v>2</v>
      </c>
      <c r="Q17" s="5">
        <v>3</v>
      </c>
      <c r="R17" s="5">
        <v>4</v>
      </c>
      <c r="S17" s="5">
        <v>5</v>
      </c>
      <c r="T17" s="5">
        <v>6</v>
      </c>
      <c r="U17" s="5">
        <v>1</v>
      </c>
      <c r="V17" s="5">
        <v>2</v>
      </c>
      <c r="W17" s="5">
        <v>3</v>
      </c>
      <c r="X17" s="5">
        <v>4</v>
      </c>
      <c r="Y17" s="5">
        <v>5</v>
      </c>
      <c r="Z17" s="5">
        <v>6</v>
      </c>
      <c r="AA17" s="5">
        <v>1</v>
      </c>
      <c r="AB17" s="5">
        <v>2</v>
      </c>
      <c r="AC17" s="5">
        <v>3</v>
      </c>
      <c r="AD17" s="5">
        <v>4</v>
      </c>
      <c r="AE17" s="5">
        <v>5</v>
      </c>
      <c r="AF17" s="5">
        <v>6</v>
      </c>
      <c r="AG17" s="5">
        <v>1</v>
      </c>
      <c r="AH17" s="5">
        <v>2</v>
      </c>
      <c r="AI17" s="5">
        <v>3</v>
      </c>
      <c r="AJ17" s="5">
        <v>4</v>
      </c>
      <c r="AK17" s="5">
        <v>5</v>
      </c>
      <c r="AL17" s="5">
        <v>6</v>
      </c>
      <c r="AM17" s="5">
        <v>1</v>
      </c>
      <c r="AN17" s="5">
        <v>2</v>
      </c>
      <c r="AO17" s="5">
        <v>3</v>
      </c>
      <c r="AP17" s="5">
        <v>4</v>
      </c>
      <c r="AQ17" s="5">
        <v>5</v>
      </c>
      <c r="AR17" s="5">
        <v>6</v>
      </c>
      <c r="AS17" s="5">
        <v>1</v>
      </c>
      <c r="AT17" s="5">
        <v>2</v>
      </c>
      <c r="AU17" s="5">
        <v>3</v>
      </c>
      <c r="AV17" s="5">
        <v>4</v>
      </c>
      <c r="AW17" s="5">
        <v>5</v>
      </c>
      <c r="AX17" s="5">
        <v>6</v>
      </c>
      <c r="AY17" s="5">
        <v>1</v>
      </c>
      <c r="AZ17" s="5">
        <v>2</v>
      </c>
      <c r="BA17" s="5">
        <v>3</v>
      </c>
      <c r="BB17" s="5">
        <v>4</v>
      </c>
      <c r="BC17" s="5">
        <v>5</v>
      </c>
      <c r="BD17" s="5">
        <v>6</v>
      </c>
      <c r="BE17" s="5">
        <v>1</v>
      </c>
      <c r="BF17" s="5">
        <v>2</v>
      </c>
      <c r="BG17" s="5">
        <v>3</v>
      </c>
      <c r="BH17" s="5">
        <v>4</v>
      </c>
      <c r="BI17" s="5">
        <v>5</v>
      </c>
      <c r="BJ17" s="5">
        <v>6</v>
      </c>
      <c r="BK17" s="5">
        <v>1</v>
      </c>
      <c r="BL17" s="5">
        <v>2</v>
      </c>
      <c r="BM17" s="5">
        <v>3</v>
      </c>
      <c r="BN17" s="5">
        <v>4</v>
      </c>
      <c r="BO17" s="5">
        <v>5</v>
      </c>
      <c r="BP17" s="5">
        <v>6</v>
      </c>
      <c r="BQ17" s="5">
        <v>1</v>
      </c>
      <c r="BR17" s="5">
        <v>2</v>
      </c>
      <c r="BS17" s="5">
        <v>3</v>
      </c>
      <c r="BT17" s="5">
        <v>4</v>
      </c>
      <c r="BU17" s="5">
        <v>5</v>
      </c>
      <c r="BV17" s="5">
        <v>6</v>
      </c>
      <c r="BW17" s="5">
        <v>1</v>
      </c>
      <c r="BX17" s="5">
        <v>2</v>
      </c>
      <c r="BY17" s="5">
        <v>3</v>
      </c>
      <c r="BZ17" s="5">
        <v>4</v>
      </c>
      <c r="CA17" s="5">
        <v>5</v>
      </c>
      <c r="CB17" s="5">
        <v>6</v>
      </c>
      <c r="CC17" s="5">
        <v>1</v>
      </c>
      <c r="CD17" s="5">
        <v>2</v>
      </c>
      <c r="CE17" s="5">
        <v>3</v>
      </c>
      <c r="CF17" s="5">
        <v>4</v>
      </c>
      <c r="CG17" s="5">
        <v>5</v>
      </c>
      <c r="CH17" s="5">
        <v>6</v>
      </c>
      <c r="CI17" s="5">
        <v>1</v>
      </c>
      <c r="CJ17" s="5">
        <v>2</v>
      </c>
      <c r="CK17" s="5">
        <v>3</v>
      </c>
      <c r="CL17" s="5">
        <v>4</v>
      </c>
      <c r="CM17" s="5">
        <v>5</v>
      </c>
      <c r="CN17" s="5">
        <v>6</v>
      </c>
      <c r="CO17" s="5">
        <v>1</v>
      </c>
      <c r="CP17" s="5">
        <v>2</v>
      </c>
      <c r="CQ17" s="5">
        <v>3</v>
      </c>
      <c r="CR17" s="5">
        <v>4</v>
      </c>
      <c r="CS17" s="5">
        <v>5</v>
      </c>
      <c r="CT17" s="5">
        <v>6</v>
      </c>
      <c r="CU17" s="5">
        <v>1</v>
      </c>
      <c r="CV17" s="5">
        <v>2</v>
      </c>
      <c r="CW17" s="5">
        <v>3</v>
      </c>
      <c r="CX17" s="5">
        <v>4</v>
      </c>
      <c r="CY17" s="5">
        <v>5</v>
      </c>
      <c r="CZ17" s="5">
        <v>6</v>
      </c>
      <c r="DA17" s="5">
        <v>1</v>
      </c>
      <c r="DB17" s="5">
        <v>2</v>
      </c>
      <c r="DC17" s="5">
        <v>3</v>
      </c>
      <c r="DD17" s="5">
        <v>4</v>
      </c>
      <c r="DE17" s="5">
        <v>5</v>
      </c>
      <c r="DF17" s="5">
        <v>6</v>
      </c>
      <c r="DG17" s="5">
        <v>1</v>
      </c>
      <c r="DH17" s="5">
        <v>2</v>
      </c>
      <c r="DI17" s="5">
        <v>3</v>
      </c>
      <c r="DJ17" s="5">
        <v>4</v>
      </c>
      <c r="DK17" s="5">
        <v>5</v>
      </c>
      <c r="DL17" s="5">
        <v>6</v>
      </c>
      <c r="DM17" s="5">
        <v>1</v>
      </c>
      <c r="DN17" s="5">
        <v>2</v>
      </c>
      <c r="DO17" s="5">
        <v>3</v>
      </c>
      <c r="DP17" s="5">
        <v>4</v>
      </c>
      <c r="DQ17" s="5">
        <v>5</v>
      </c>
      <c r="DR17" s="5">
        <v>6</v>
      </c>
    </row>
    <row r="18" spans="1:122" x14ac:dyDescent="0.2">
      <c r="A18" s="4"/>
      <c r="B18" s="5" t="s">
        <v>252</v>
      </c>
      <c r="C18" s="6">
        <v>-93972.5</v>
      </c>
      <c r="D18" s="6">
        <v>-93972.5</v>
      </c>
      <c r="E18" s="6">
        <v>-93000</v>
      </c>
      <c r="F18" s="6">
        <v>-93000</v>
      </c>
      <c r="G18" s="6">
        <v>-92027.5</v>
      </c>
      <c r="H18" s="6">
        <v>-92027.5</v>
      </c>
      <c r="I18" s="6">
        <v>-83851.399999999994</v>
      </c>
      <c r="J18" s="6">
        <v>-83851.399999999994</v>
      </c>
      <c r="K18" s="6">
        <v>-83000</v>
      </c>
      <c r="L18" s="6">
        <v>-83000</v>
      </c>
      <c r="M18" s="6">
        <v>-82148.600000000006</v>
      </c>
      <c r="N18" s="6">
        <v>-82148.600000000006</v>
      </c>
      <c r="O18" s="6">
        <v>-77779.100000000006</v>
      </c>
      <c r="P18" s="6">
        <v>-77779.100000000006</v>
      </c>
      <c r="Q18" s="6">
        <v>-77000</v>
      </c>
      <c r="R18" s="6">
        <v>-77000</v>
      </c>
      <c r="S18" s="6">
        <v>-76220.899999999994</v>
      </c>
      <c r="T18" s="6">
        <v>-76220.899999999994</v>
      </c>
      <c r="U18" s="6">
        <v>-69000</v>
      </c>
      <c r="V18" s="6">
        <v>-69000</v>
      </c>
      <c r="W18" s="6">
        <v>-68998.599999999991</v>
      </c>
      <c r="X18" s="6">
        <v>-68998.599999999991</v>
      </c>
      <c r="Y18" s="6">
        <v>-68998.5</v>
      </c>
      <c r="Z18" s="6">
        <v>-68998.5</v>
      </c>
      <c r="AA18" s="6">
        <v>-59566.8</v>
      </c>
      <c r="AB18" s="6">
        <v>-59566.8</v>
      </c>
      <c r="AC18" s="6">
        <v>-59000</v>
      </c>
      <c r="AD18" s="6">
        <v>-59000</v>
      </c>
      <c r="AE18" s="6">
        <v>-58433.2</v>
      </c>
      <c r="AF18" s="6">
        <v>-58433.2</v>
      </c>
      <c r="AG18" s="6">
        <v>-50464.6</v>
      </c>
      <c r="AH18" s="6">
        <v>-50464.6</v>
      </c>
      <c r="AI18" s="6">
        <v>-50000</v>
      </c>
      <c r="AJ18" s="6">
        <v>-50000</v>
      </c>
      <c r="AK18" s="6">
        <v>-49535.4</v>
      </c>
      <c r="AL18" s="6">
        <v>-49535.4</v>
      </c>
      <c r="AM18" s="6">
        <v>-40355.800000000003</v>
      </c>
      <c r="AN18" s="6">
        <v>-40355.800000000003</v>
      </c>
      <c r="AO18" s="6">
        <v>-40000</v>
      </c>
      <c r="AP18" s="6">
        <v>-40000</v>
      </c>
      <c r="AQ18" s="6">
        <v>-39644.199999999997</v>
      </c>
      <c r="AR18" s="6">
        <v>-39644.199999999997</v>
      </c>
      <c r="AS18" s="6">
        <v>-28738.7</v>
      </c>
      <c r="AT18" s="6">
        <v>-28738.7</v>
      </c>
      <c r="AU18" s="6">
        <v>-28500</v>
      </c>
      <c r="AV18" s="6">
        <v>-28500</v>
      </c>
      <c r="AW18" s="6">
        <v>-28261.3</v>
      </c>
      <c r="AX18" s="6">
        <v>-28261.3</v>
      </c>
      <c r="AY18" s="6">
        <v>-16123.9</v>
      </c>
      <c r="AZ18" s="6">
        <v>-16123.9</v>
      </c>
      <c r="BA18" s="6">
        <v>-16000</v>
      </c>
      <c r="BB18" s="6">
        <v>-16000</v>
      </c>
      <c r="BC18" s="6">
        <v>-15876.099999999999</v>
      </c>
      <c r="BD18" s="6">
        <v>-15876.099999999999</v>
      </c>
      <c r="BE18" s="6">
        <v>-5035.5999999999995</v>
      </c>
      <c r="BF18" s="6">
        <v>-5035.5999999999995</v>
      </c>
      <c r="BG18" s="6">
        <v>-5000</v>
      </c>
      <c r="BH18" s="6">
        <v>-5000</v>
      </c>
      <c r="BI18" s="6">
        <v>-4964.4000000000005</v>
      </c>
      <c r="BJ18" s="6">
        <v>-4964.4000000000005</v>
      </c>
      <c r="BK18" s="6">
        <v>4964.4000000000005</v>
      </c>
      <c r="BL18" s="6">
        <v>4964.4000000000005</v>
      </c>
      <c r="BM18" s="6">
        <v>5000</v>
      </c>
      <c r="BN18" s="6">
        <v>5000</v>
      </c>
      <c r="BO18" s="6">
        <v>5035.5999999999995</v>
      </c>
      <c r="BP18" s="6">
        <v>5035.5999999999995</v>
      </c>
      <c r="BQ18" s="6">
        <v>15876.099999999999</v>
      </c>
      <c r="BR18" s="6">
        <v>15876.099999999999</v>
      </c>
      <c r="BS18" s="6">
        <v>16000</v>
      </c>
      <c r="BT18" s="6">
        <v>16000</v>
      </c>
      <c r="BU18" s="6">
        <v>16123.9</v>
      </c>
      <c r="BV18" s="6">
        <v>16123.9</v>
      </c>
      <c r="BW18" s="6">
        <v>28261.3</v>
      </c>
      <c r="BX18" s="6">
        <v>28261.3</v>
      </c>
      <c r="BY18" s="6">
        <v>28500</v>
      </c>
      <c r="BZ18" s="6">
        <v>28500</v>
      </c>
      <c r="CA18" s="6">
        <v>28738.7</v>
      </c>
      <c r="CB18" s="6">
        <v>28738.7</v>
      </c>
      <c r="CC18" s="6">
        <v>39644.199999999997</v>
      </c>
      <c r="CD18" s="6">
        <v>39644.199999999997</v>
      </c>
      <c r="CE18" s="6">
        <v>40000</v>
      </c>
      <c r="CF18" s="6">
        <v>40000</v>
      </c>
      <c r="CG18" s="6">
        <v>40355.800000000003</v>
      </c>
      <c r="CH18" s="6">
        <v>40355.800000000003</v>
      </c>
      <c r="CI18" s="6">
        <v>49535.4</v>
      </c>
      <c r="CJ18" s="6">
        <v>49535.4</v>
      </c>
      <c r="CK18" s="6">
        <v>50000</v>
      </c>
      <c r="CL18" s="6">
        <v>50000</v>
      </c>
      <c r="CM18" s="6">
        <v>50464.6</v>
      </c>
      <c r="CN18" s="6">
        <v>50464.6</v>
      </c>
      <c r="CO18" s="6">
        <v>58433.2</v>
      </c>
      <c r="CP18" s="6">
        <v>58433.2</v>
      </c>
      <c r="CQ18" s="6">
        <v>59000</v>
      </c>
      <c r="CR18" s="6">
        <v>59000</v>
      </c>
      <c r="CS18" s="6">
        <v>59566.8</v>
      </c>
      <c r="CT18" s="6">
        <v>59566.8</v>
      </c>
      <c r="CU18" s="6">
        <v>68998.5</v>
      </c>
      <c r="CV18" s="6">
        <v>68998.5</v>
      </c>
      <c r="CW18" s="6">
        <v>68998.599999999991</v>
      </c>
      <c r="CX18" s="6">
        <v>68998.599999999991</v>
      </c>
      <c r="CY18" s="6">
        <v>69000</v>
      </c>
      <c r="CZ18" s="6">
        <v>69000</v>
      </c>
      <c r="DA18" s="6">
        <v>76220.899999999994</v>
      </c>
      <c r="DB18" s="6">
        <v>76220.899999999994</v>
      </c>
      <c r="DC18" s="6">
        <v>77000</v>
      </c>
      <c r="DD18" s="6">
        <v>77000</v>
      </c>
      <c r="DE18" s="6">
        <v>77779.100000000006</v>
      </c>
      <c r="DF18" s="6">
        <v>77779.100000000006</v>
      </c>
      <c r="DG18" s="6">
        <v>82148.600000000006</v>
      </c>
      <c r="DH18" s="6">
        <v>82148.600000000006</v>
      </c>
      <c r="DI18" s="6">
        <v>83000</v>
      </c>
      <c r="DJ18" s="6">
        <v>83000</v>
      </c>
      <c r="DK18" s="6">
        <v>83851.399999999994</v>
      </c>
      <c r="DL18" s="6">
        <v>83851.399999999994</v>
      </c>
      <c r="DM18" s="6">
        <v>92027.5</v>
      </c>
      <c r="DN18" s="6">
        <v>92027.5</v>
      </c>
      <c r="DO18" s="6">
        <v>93000</v>
      </c>
      <c r="DP18" s="6">
        <v>93000</v>
      </c>
      <c r="DQ18" s="6">
        <v>93972.5</v>
      </c>
      <c r="DR18" s="6">
        <v>93972.5</v>
      </c>
    </row>
    <row r="19" spans="1:122" x14ac:dyDescent="0.2">
      <c r="A19" s="4"/>
      <c r="B19" s="5" t="s">
        <v>256</v>
      </c>
      <c r="C19" s="6">
        <v>13062.2</v>
      </c>
      <c r="D19" s="6">
        <v>14626</v>
      </c>
      <c r="E19" s="6">
        <v>12909.2</v>
      </c>
      <c r="F19" s="6">
        <v>15363.2</v>
      </c>
      <c r="G19" s="6">
        <v>13646.4</v>
      </c>
      <c r="H19" s="6">
        <v>15210.3</v>
      </c>
      <c r="I19" s="6">
        <v>11899.300000000001</v>
      </c>
      <c r="J19" s="6">
        <v>13506.1</v>
      </c>
      <c r="K19" s="6">
        <v>11762.3</v>
      </c>
      <c r="L19" s="6">
        <v>14216.300000000001</v>
      </c>
      <c r="M19" s="6">
        <v>12472.4</v>
      </c>
      <c r="N19" s="6">
        <v>14079.2</v>
      </c>
      <c r="O19" s="6">
        <v>11264.8</v>
      </c>
      <c r="P19" s="6">
        <v>12897.3</v>
      </c>
      <c r="Q19" s="6">
        <v>11136.699999999999</v>
      </c>
      <c r="R19" s="6">
        <v>13590.7</v>
      </c>
      <c r="S19" s="6">
        <v>11830.1</v>
      </c>
      <c r="T19" s="6">
        <v>13462.6</v>
      </c>
      <c r="U19" s="6">
        <v>10375.5</v>
      </c>
      <c r="V19" s="6">
        <v>12829.599999999999</v>
      </c>
      <c r="W19" s="6">
        <v>10430.799999999999</v>
      </c>
      <c r="X19" s="6">
        <v>12100.6</v>
      </c>
      <c r="Y19" s="6">
        <v>11110.300000000001</v>
      </c>
      <c r="Z19" s="6">
        <v>12774.300000000001</v>
      </c>
      <c r="AA19" s="6">
        <v>9645.0999999999985</v>
      </c>
      <c r="AB19" s="6">
        <v>11355</v>
      </c>
      <c r="AC19" s="6">
        <v>9541.4</v>
      </c>
      <c r="AD19" s="6">
        <v>11995.5</v>
      </c>
      <c r="AE19" s="6">
        <v>10181.800000000001</v>
      </c>
      <c r="AF19" s="6">
        <v>11891.7</v>
      </c>
      <c r="AG19" s="6">
        <v>8995.3000000000011</v>
      </c>
      <c r="AH19" s="6">
        <v>10743.800000000001</v>
      </c>
      <c r="AI19" s="6">
        <v>8902.1</v>
      </c>
      <c r="AJ19" s="6">
        <v>11356.199999999999</v>
      </c>
      <c r="AK19" s="6">
        <v>9514.5</v>
      </c>
      <c r="AL19" s="6">
        <v>11263</v>
      </c>
      <c r="AM19" s="6">
        <v>8398.4</v>
      </c>
      <c r="AN19" s="6">
        <v>10189.9</v>
      </c>
      <c r="AO19" s="6">
        <v>8315.6</v>
      </c>
      <c r="AP19" s="6">
        <v>10769.7</v>
      </c>
      <c r="AQ19" s="6">
        <v>8895.4</v>
      </c>
      <c r="AR19" s="6">
        <v>10686.9</v>
      </c>
      <c r="AS19" s="6">
        <v>7874.9000000000005</v>
      </c>
      <c r="AT19" s="6">
        <v>9715.7000000000007</v>
      </c>
      <c r="AU19" s="6">
        <v>7802.3</v>
      </c>
      <c r="AV19" s="6">
        <v>10256.299999999999</v>
      </c>
      <c r="AW19" s="6">
        <v>8342.9</v>
      </c>
      <c r="AX19" s="6">
        <v>10183.700000000001</v>
      </c>
      <c r="AY19" s="6">
        <v>7503.3</v>
      </c>
      <c r="AZ19" s="6">
        <v>9397.9</v>
      </c>
      <c r="BA19" s="6">
        <v>7439.8</v>
      </c>
      <c r="BB19" s="6">
        <v>9893.9</v>
      </c>
      <c r="BC19" s="6">
        <v>7935.8</v>
      </c>
      <c r="BD19" s="6">
        <v>9830.2999999999993</v>
      </c>
      <c r="BE19" s="6">
        <v>7346.4</v>
      </c>
      <c r="BF19" s="6">
        <v>9288.1</v>
      </c>
      <c r="BG19" s="6">
        <v>7289.3</v>
      </c>
      <c r="BH19" s="6">
        <v>9743.2999999999993</v>
      </c>
      <c r="BI19" s="6">
        <v>7744.4</v>
      </c>
      <c r="BJ19" s="6">
        <v>9686.1999999999989</v>
      </c>
      <c r="BK19" s="6">
        <v>7744.4</v>
      </c>
      <c r="BL19" s="6">
        <v>9686.1999999999989</v>
      </c>
      <c r="BM19" s="6">
        <v>7289.3</v>
      </c>
      <c r="BN19" s="6">
        <v>9743.2999999999993</v>
      </c>
      <c r="BO19" s="6">
        <v>7346.4</v>
      </c>
      <c r="BP19" s="6">
        <v>9288.1</v>
      </c>
      <c r="BQ19" s="6">
        <v>7935.8</v>
      </c>
      <c r="BR19" s="6">
        <v>9830.2999999999993</v>
      </c>
      <c r="BS19" s="6">
        <v>7439.8</v>
      </c>
      <c r="BT19" s="6">
        <v>9893.9</v>
      </c>
      <c r="BU19" s="6">
        <v>7503.3</v>
      </c>
      <c r="BV19" s="6">
        <v>9397.9</v>
      </c>
      <c r="BW19" s="6">
        <v>8342.9</v>
      </c>
      <c r="BX19" s="6">
        <v>10183.700000000001</v>
      </c>
      <c r="BY19" s="6">
        <v>7802.3</v>
      </c>
      <c r="BZ19" s="6">
        <v>10256.299999999999</v>
      </c>
      <c r="CA19" s="6">
        <v>7874.9000000000005</v>
      </c>
      <c r="CB19" s="6">
        <v>9715.7000000000007</v>
      </c>
      <c r="CC19" s="6">
        <v>8895.4</v>
      </c>
      <c r="CD19" s="6">
        <v>10686.9</v>
      </c>
      <c r="CE19" s="6">
        <v>8315.6</v>
      </c>
      <c r="CF19" s="6">
        <v>10769.7</v>
      </c>
      <c r="CG19" s="6">
        <v>8398.4</v>
      </c>
      <c r="CH19" s="6">
        <v>10189.9</v>
      </c>
      <c r="CI19" s="6">
        <v>9514.5</v>
      </c>
      <c r="CJ19" s="6">
        <v>11263</v>
      </c>
      <c r="CK19" s="6">
        <v>8902.1</v>
      </c>
      <c r="CL19" s="6">
        <v>11356.199999999999</v>
      </c>
      <c r="CM19" s="6">
        <v>8995.3000000000011</v>
      </c>
      <c r="CN19" s="6">
        <v>10743.800000000001</v>
      </c>
      <c r="CO19" s="6">
        <v>10181.800000000001</v>
      </c>
      <c r="CP19" s="6">
        <v>11891.7</v>
      </c>
      <c r="CQ19" s="6">
        <v>9541.4</v>
      </c>
      <c r="CR19" s="6">
        <v>11995.5</v>
      </c>
      <c r="CS19" s="6">
        <v>9645.0999999999985</v>
      </c>
      <c r="CT19" s="6">
        <v>11355</v>
      </c>
      <c r="CU19" s="6">
        <v>11110.300000000001</v>
      </c>
      <c r="CV19" s="6">
        <v>12774.300000000001</v>
      </c>
      <c r="CW19" s="6">
        <v>10430.799999999999</v>
      </c>
      <c r="CX19" s="6">
        <v>12100.6</v>
      </c>
      <c r="CY19" s="6">
        <v>10375.5</v>
      </c>
      <c r="CZ19" s="6">
        <v>12829.599999999999</v>
      </c>
      <c r="DA19" s="6">
        <v>11830.1</v>
      </c>
      <c r="DB19" s="6">
        <v>13462.6</v>
      </c>
      <c r="DC19" s="6">
        <v>11136.699999999999</v>
      </c>
      <c r="DD19" s="6">
        <v>13590.7</v>
      </c>
      <c r="DE19" s="6">
        <v>11264.8</v>
      </c>
      <c r="DF19" s="6">
        <v>12897.3</v>
      </c>
      <c r="DG19" s="6">
        <v>12472.4</v>
      </c>
      <c r="DH19" s="6">
        <v>14079.2</v>
      </c>
      <c r="DI19" s="6">
        <v>11762.3</v>
      </c>
      <c r="DJ19" s="6">
        <v>14216.300000000001</v>
      </c>
      <c r="DK19" s="6">
        <v>11899.300000000001</v>
      </c>
      <c r="DL19" s="6">
        <v>13506.1</v>
      </c>
      <c r="DM19" s="6">
        <v>13646.4</v>
      </c>
      <c r="DN19" s="6">
        <v>15210.3</v>
      </c>
      <c r="DO19" s="6">
        <v>12909.2</v>
      </c>
      <c r="DP19" s="6">
        <v>15363.2</v>
      </c>
      <c r="DQ19" s="6">
        <v>13062.2</v>
      </c>
      <c r="DR19" s="6">
        <v>14626</v>
      </c>
    </row>
    <row r="20" spans="1:122" x14ac:dyDescent="0.2">
      <c r="A20" s="4"/>
      <c r="B20" s="5" t="s">
        <v>257</v>
      </c>
      <c r="C20" s="6">
        <v>4355.1000000000004</v>
      </c>
      <c r="D20" s="6">
        <v>4659.0999999999995</v>
      </c>
      <c r="E20" s="6">
        <v>2765.7</v>
      </c>
      <c r="F20" s="6">
        <v>3242.7000000000003</v>
      </c>
      <c r="G20" s="6">
        <v>1349.3999999999999</v>
      </c>
      <c r="H20" s="6">
        <v>1653.4</v>
      </c>
      <c r="I20" s="6">
        <v>10222.6</v>
      </c>
      <c r="J20" s="6">
        <v>10534.9</v>
      </c>
      <c r="K20" s="6">
        <v>8666.1</v>
      </c>
      <c r="L20" s="6">
        <v>9143.1</v>
      </c>
      <c r="M20" s="6">
        <v>7274.3</v>
      </c>
      <c r="N20" s="6">
        <v>7586.7000000000007</v>
      </c>
      <c r="O20" s="6">
        <v>13418.5</v>
      </c>
      <c r="P20" s="6">
        <v>13735.8</v>
      </c>
      <c r="Q20" s="6">
        <v>11884.5</v>
      </c>
      <c r="R20" s="6">
        <v>12361.5</v>
      </c>
      <c r="S20" s="6">
        <v>10510.199999999999</v>
      </c>
      <c r="T20" s="6">
        <v>10827.6</v>
      </c>
      <c r="U20" s="6">
        <v>15800.2</v>
      </c>
      <c r="V20" s="6">
        <v>16277.300000000001</v>
      </c>
      <c r="W20" s="6">
        <v>17609.5</v>
      </c>
      <c r="X20" s="6">
        <v>17934.100000000002</v>
      </c>
      <c r="Y20" s="6">
        <v>14129.2</v>
      </c>
      <c r="Z20" s="6">
        <v>14452.7</v>
      </c>
      <c r="AA20" s="6">
        <v>21544.3</v>
      </c>
      <c r="AB20" s="6">
        <v>21876.6</v>
      </c>
      <c r="AC20" s="6">
        <v>20091.400000000001</v>
      </c>
      <c r="AD20" s="6">
        <v>20568.5</v>
      </c>
      <c r="AE20" s="6">
        <v>18783.3</v>
      </c>
      <c r="AF20" s="6">
        <v>19115.600000000002</v>
      </c>
      <c r="AG20" s="6">
        <v>24784.199999999997</v>
      </c>
      <c r="AH20" s="6">
        <v>25124</v>
      </c>
      <c r="AI20" s="6">
        <v>23380.199999999997</v>
      </c>
      <c r="AJ20" s="6">
        <v>23857.3</v>
      </c>
      <c r="AK20" s="6">
        <v>22113.5</v>
      </c>
      <c r="AL20" s="6">
        <v>22453.3</v>
      </c>
      <c r="AM20" s="6">
        <v>27740.2</v>
      </c>
      <c r="AN20" s="6">
        <v>28088.5</v>
      </c>
      <c r="AO20" s="6">
        <v>26397.5</v>
      </c>
      <c r="AP20" s="6">
        <v>26874.5</v>
      </c>
      <c r="AQ20" s="6">
        <v>25183.5</v>
      </c>
      <c r="AR20" s="6">
        <v>25531.8</v>
      </c>
      <c r="AS20" s="6">
        <v>30301.8</v>
      </c>
      <c r="AT20" s="6">
        <v>30659.7</v>
      </c>
      <c r="AU20" s="6">
        <v>29038.399999999998</v>
      </c>
      <c r="AV20" s="6">
        <v>29515.4</v>
      </c>
      <c r="AW20" s="6">
        <v>27894.2</v>
      </c>
      <c r="AX20" s="6">
        <v>28252</v>
      </c>
      <c r="AY20" s="6">
        <v>32070.099999999995</v>
      </c>
      <c r="AZ20" s="6">
        <v>32438.3</v>
      </c>
      <c r="BA20" s="6">
        <v>30903.199999999997</v>
      </c>
      <c r="BB20" s="6">
        <v>31380.3</v>
      </c>
      <c r="BC20" s="6">
        <v>29845.199999999997</v>
      </c>
      <c r="BD20" s="6">
        <v>30213.5</v>
      </c>
      <c r="BE20" s="6">
        <v>32751.399999999998</v>
      </c>
      <c r="BF20" s="6">
        <v>33128.9</v>
      </c>
      <c r="BG20" s="6">
        <v>31677.7</v>
      </c>
      <c r="BH20" s="6">
        <v>32154.699999999997</v>
      </c>
      <c r="BI20" s="6">
        <v>30703.5</v>
      </c>
      <c r="BJ20" s="6">
        <v>31080.9</v>
      </c>
      <c r="BK20" s="6">
        <v>30703.5</v>
      </c>
      <c r="BL20" s="6">
        <v>31080.9</v>
      </c>
      <c r="BM20" s="6">
        <v>31677.7</v>
      </c>
      <c r="BN20" s="6">
        <v>32154.699999999997</v>
      </c>
      <c r="BO20" s="6">
        <v>32751.399999999998</v>
      </c>
      <c r="BP20" s="6">
        <v>33128.9</v>
      </c>
      <c r="BQ20" s="6">
        <v>29845.199999999997</v>
      </c>
      <c r="BR20" s="6">
        <v>30213.5</v>
      </c>
      <c r="BS20" s="6">
        <v>30903.199999999997</v>
      </c>
      <c r="BT20" s="6">
        <v>31380.3</v>
      </c>
      <c r="BU20" s="6">
        <v>32070.099999999995</v>
      </c>
      <c r="BV20" s="6">
        <v>32438.3</v>
      </c>
      <c r="BW20" s="6">
        <v>27894.2</v>
      </c>
      <c r="BX20" s="6">
        <v>28252</v>
      </c>
      <c r="BY20" s="6">
        <v>29038.399999999998</v>
      </c>
      <c r="BZ20" s="6">
        <v>29515.4</v>
      </c>
      <c r="CA20" s="6">
        <v>30301.8</v>
      </c>
      <c r="CB20" s="6">
        <v>30659.7</v>
      </c>
      <c r="CC20" s="6">
        <v>25183.5</v>
      </c>
      <c r="CD20" s="6">
        <v>25531.8</v>
      </c>
      <c r="CE20" s="6">
        <v>26397.5</v>
      </c>
      <c r="CF20" s="6">
        <v>26874.5</v>
      </c>
      <c r="CG20" s="6">
        <v>27740.2</v>
      </c>
      <c r="CH20" s="6">
        <v>28088.5</v>
      </c>
      <c r="CI20" s="6">
        <v>22113.5</v>
      </c>
      <c r="CJ20" s="6">
        <v>22453.3</v>
      </c>
      <c r="CK20" s="6">
        <v>23380.199999999997</v>
      </c>
      <c r="CL20" s="6">
        <v>23857.3</v>
      </c>
      <c r="CM20" s="6">
        <v>24784.199999999997</v>
      </c>
      <c r="CN20" s="6">
        <v>25124</v>
      </c>
      <c r="CO20" s="6">
        <v>18783.3</v>
      </c>
      <c r="CP20" s="6">
        <v>19115.600000000002</v>
      </c>
      <c r="CQ20" s="6">
        <v>20091.400000000001</v>
      </c>
      <c r="CR20" s="6">
        <v>20568.5</v>
      </c>
      <c r="CS20" s="6">
        <v>21544.3</v>
      </c>
      <c r="CT20" s="6">
        <v>21876.6</v>
      </c>
      <c r="CU20" s="6">
        <v>14129.2</v>
      </c>
      <c r="CV20" s="6">
        <v>14452.7</v>
      </c>
      <c r="CW20" s="6">
        <v>17609.5</v>
      </c>
      <c r="CX20" s="6">
        <v>17934.100000000002</v>
      </c>
      <c r="CY20" s="6">
        <v>15800.2</v>
      </c>
      <c r="CZ20" s="6">
        <v>16277.300000000001</v>
      </c>
      <c r="DA20" s="6">
        <v>10510.199999999999</v>
      </c>
      <c r="DB20" s="6">
        <v>10827.6</v>
      </c>
      <c r="DC20" s="6">
        <v>11884.5</v>
      </c>
      <c r="DD20" s="6">
        <v>12361.5</v>
      </c>
      <c r="DE20" s="6">
        <v>13418.5</v>
      </c>
      <c r="DF20" s="6">
        <v>13735.8</v>
      </c>
      <c r="DG20" s="6">
        <v>7274.3</v>
      </c>
      <c r="DH20" s="6">
        <v>7586.7000000000007</v>
      </c>
      <c r="DI20" s="6">
        <v>8666.1</v>
      </c>
      <c r="DJ20" s="6">
        <v>9143.1</v>
      </c>
      <c r="DK20" s="6">
        <v>10222.6</v>
      </c>
      <c r="DL20" s="6">
        <v>10534.9</v>
      </c>
      <c r="DM20" s="6">
        <v>1349.3999999999999</v>
      </c>
      <c r="DN20" s="6">
        <v>1653.4</v>
      </c>
      <c r="DO20" s="6">
        <v>2765.7</v>
      </c>
      <c r="DP20" s="6">
        <v>3242.7000000000003</v>
      </c>
      <c r="DQ20" s="6">
        <v>4355.1000000000004</v>
      </c>
      <c r="DR20" s="6">
        <v>4659.0999999999995</v>
      </c>
    </row>
    <row r="21" spans="1:122" x14ac:dyDescent="0.2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</row>
    <row r="22" spans="1:122" x14ac:dyDescent="0.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</row>
    <row r="23" spans="1:122" x14ac:dyDescent="0.2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</row>
    <row r="24" spans="1:122" x14ac:dyDescent="0.2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</row>
    <row r="25" spans="1:122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</row>
    <row r="26" spans="1:122" x14ac:dyDescent="0.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</row>
  </sheetData>
  <mergeCells count="42">
    <mergeCell ref="CU16:CZ16"/>
    <mergeCell ref="DA16:DF16"/>
    <mergeCell ref="DG16:DL16"/>
    <mergeCell ref="DM16:DR16"/>
    <mergeCell ref="BK16:BP16"/>
    <mergeCell ref="BQ16:BV16"/>
    <mergeCell ref="BW16:CB16"/>
    <mergeCell ref="CC16:CH16"/>
    <mergeCell ref="CI16:CN16"/>
    <mergeCell ref="CO16:CT16"/>
    <mergeCell ref="AA16:AF16"/>
    <mergeCell ref="AG16:AL16"/>
    <mergeCell ref="AM16:AR16"/>
    <mergeCell ref="AS16:AX16"/>
    <mergeCell ref="AY16:BD16"/>
    <mergeCell ref="BE16:BJ16"/>
    <mergeCell ref="DG10:DL10"/>
    <mergeCell ref="DM10:DR10"/>
    <mergeCell ref="A10:A14"/>
    <mergeCell ref="A16:A20"/>
    <mergeCell ref="C16:H16"/>
    <mergeCell ref="I16:N16"/>
    <mergeCell ref="O16:T16"/>
    <mergeCell ref="U16:Z16"/>
    <mergeCell ref="BW10:CB10"/>
    <mergeCell ref="CC10:CH10"/>
    <mergeCell ref="CI10:CN10"/>
    <mergeCell ref="CO10:CT10"/>
    <mergeCell ref="CU10:CZ10"/>
    <mergeCell ref="DA10:DF10"/>
    <mergeCell ref="AM10:AR10"/>
    <mergeCell ref="AS10:AX10"/>
    <mergeCell ref="AY10:BD10"/>
    <mergeCell ref="BE10:BJ10"/>
    <mergeCell ref="BK10:BP10"/>
    <mergeCell ref="BQ10:BV10"/>
    <mergeCell ref="C10:H10"/>
    <mergeCell ref="I10:N10"/>
    <mergeCell ref="O10:T10"/>
    <mergeCell ref="U10:Z10"/>
    <mergeCell ref="AA10:AF10"/>
    <mergeCell ref="AG10:AL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梁雨</dc:creator>
  <cp:lastModifiedBy>高海洋</cp:lastModifiedBy>
  <dcterms:created xsi:type="dcterms:W3CDTF">2022-11-25T15:04:13Z</dcterms:created>
  <dcterms:modified xsi:type="dcterms:W3CDTF">2022-11-27T09:25:04Z</dcterms:modified>
</cp:coreProperties>
</file>