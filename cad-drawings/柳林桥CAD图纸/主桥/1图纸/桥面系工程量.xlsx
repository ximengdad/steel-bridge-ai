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B64C5E4E-37F3-452D-97C1-8441DAB9C92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排水" sheetId="6" r:id="rId1"/>
    <sheet name="伸缩缝" sheetId="2" r:id="rId2"/>
    <sheet name="人行护栏" sheetId="3" r:id="rId3"/>
    <sheet name="路灯底座" sheetId="7" r:id="rId4"/>
    <sheet name="桥面系工程数量汇总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8" l="1"/>
  <c r="P18" i="8" s="1"/>
  <c r="L12" i="8"/>
  <c r="B3" i="7"/>
  <c r="B2" i="7"/>
  <c r="B1" i="7"/>
  <c r="D9" i="7"/>
  <c r="E9" i="7" s="1"/>
  <c r="B9" i="7"/>
  <c r="C7" i="7"/>
  <c r="M7" i="7"/>
  <c r="D7" i="7"/>
  <c r="B7" i="7"/>
  <c r="D6" i="7"/>
  <c r="E6" i="7" s="1"/>
  <c r="B6" i="7"/>
  <c r="M6" i="7"/>
  <c r="N6" i="7" s="1"/>
  <c r="M10" i="7"/>
  <c r="D10" i="7"/>
  <c r="E10" i="7" s="1"/>
  <c r="C10" i="7"/>
  <c r="N10" i="7" s="1"/>
  <c r="B10" i="7"/>
  <c r="P31" i="8"/>
  <c r="P34" i="8"/>
  <c r="P35" i="8"/>
  <c r="P36" i="8"/>
  <c r="P37" i="8"/>
  <c r="P38" i="8"/>
  <c r="P39" i="8"/>
  <c r="P13" i="8"/>
  <c r="E7" i="7" l="1"/>
  <c r="N7" i="7"/>
  <c r="N51" i="8"/>
  <c r="P51" i="8" s="1"/>
  <c r="N50" i="8"/>
  <c r="P50" i="8" s="1"/>
  <c r="N49" i="8"/>
  <c r="P49" i="8" s="1"/>
  <c r="N48" i="8"/>
  <c r="P48" i="8" s="1"/>
  <c r="N47" i="8"/>
  <c r="P47" i="8" s="1"/>
  <c r="O54" i="8"/>
  <c r="P54" i="8" s="1"/>
  <c r="L17" i="3"/>
  <c r="M17" i="3"/>
  <c r="L12" i="3"/>
  <c r="M12" i="3"/>
  <c r="N12" i="3" s="1"/>
  <c r="D17" i="3"/>
  <c r="E17" i="3" s="1"/>
  <c r="B17" i="3"/>
  <c r="D12" i="3"/>
  <c r="E12" i="3" s="1"/>
  <c r="Y12" i="3"/>
  <c r="Y13" i="3" s="1"/>
  <c r="X12" i="3"/>
  <c r="X13" i="3" s="1"/>
  <c r="W12" i="3"/>
  <c r="W13" i="3" s="1"/>
  <c r="V13" i="3"/>
  <c r="V12" i="3"/>
  <c r="B12" i="3"/>
  <c r="C5" i="3"/>
  <c r="M10" i="3"/>
  <c r="M11" i="3"/>
  <c r="L10" i="3"/>
  <c r="D10" i="3"/>
  <c r="D11" i="3"/>
  <c r="C19" i="3"/>
  <c r="C18" i="3"/>
  <c r="G30" i="8"/>
  <c r="F30" i="8"/>
  <c r="P24" i="8"/>
  <c r="P25" i="8"/>
  <c r="P26" i="8"/>
  <c r="P27" i="8"/>
  <c r="P28" i="8"/>
  <c r="P29" i="8"/>
  <c r="H23" i="8"/>
  <c r="I23" i="8"/>
  <c r="J23" i="8"/>
  <c r="P11" i="8"/>
  <c r="P14" i="8"/>
  <c r="I4" i="6"/>
  <c r="N17" i="3" l="1"/>
  <c r="P30" i="8"/>
  <c r="M52" i="8"/>
  <c r="P52" i="8" s="1"/>
  <c r="O33" i="8"/>
  <c r="O53" i="8"/>
  <c r="P53" i="8" s="1"/>
  <c r="I21" i="6"/>
  <c r="I20" i="6"/>
  <c r="J20" i="6" s="1"/>
  <c r="I8" i="6"/>
  <c r="J8" i="6" s="1"/>
  <c r="I7" i="6"/>
  <c r="J7" i="6" s="1"/>
  <c r="I6" i="6"/>
  <c r="J6" i="6" s="1"/>
  <c r="I5" i="6"/>
  <c r="J5" i="6" s="1"/>
  <c r="J4" i="6"/>
  <c r="L27" i="3"/>
  <c r="L31" i="3"/>
  <c r="L23" i="3"/>
  <c r="L7" i="3"/>
  <c r="D22" i="6"/>
  <c r="M41" i="8" s="1"/>
  <c r="P41" i="8" s="1"/>
  <c r="E21" i="6"/>
  <c r="D21" i="6"/>
  <c r="J21" i="6" l="1"/>
  <c r="B33" i="6" s="1"/>
  <c r="M45" i="8" s="1"/>
  <c r="F21" i="6"/>
  <c r="B34" i="6" l="1"/>
  <c r="M46" i="8" s="1"/>
  <c r="C12" i="7"/>
  <c r="L32" i="8" s="1"/>
  <c r="P32" i="8" s="1"/>
  <c r="C11" i="7"/>
  <c r="L33" i="8" s="1"/>
  <c r="P33" i="8" s="1"/>
  <c r="D8" i="7"/>
  <c r="E8" i="7" s="1"/>
  <c r="B8" i="7"/>
  <c r="D7" i="3"/>
  <c r="B7" i="3"/>
  <c r="B6" i="3"/>
  <c r="D31" i="3"/>
  <c r="C31" i="3"/>
  <c r="N31" i="3" s="1"/>
  <c r="B31" i="3"/>
  <c r="C30" i="3"/>
  <c r="C29" i="3"/>
  <c r="C28" i="3"/>
  <c r="J28" i="3"/>
  <c r="D27" i="3"/>
  <c r="C27" i="3"/>
  <c r="N27" i="3" s="1"/>
  <c r="B27" i="3"/>
  <c r="C23" i="3"/>
  <c r="N23" i="3" s="1"/>
  <c r="D23" i="3"/>
  <c r="B23" i="3"/>
  <c r="J26" i="3"/>
  <c r="J25" i="3"/>
  <c r="M24" i="3"/>
  <c r="L24" i="3"/>
  <c r="D24" i="3"/>
  <c r="E24" i="3" s="1"/>
  <c r="D20" i="3"/>
  <c r="E20" i="3" s="1"/>
  <c r="M20" i="3"/>
  <c r="L20" i="3"/>
  <c r="J22" i="3"/>
  <c r="D22" i="3" s="1"/>
  <c r="J21" i="3"/>
  <c r="M21" i="3" s="1"/>
  <c r="B24" i="3"/>
  <c r="B20" i="3"/>
  <c r="D19" i="3"/>
  <c r="M19" i="3"/>
  <c r="L19" i="3"/>
  <c r="B19" i="3"/>
  <c r="D18" i="3"/>
  <c r="M18" i="3"/>
  <c r="L18" i="3"/>
  <c r="B18" i="3"/>
  <c r="J16" i="3"/>
  <c r="J15" i="3"/>
  <c r="E10" i="3"/>
  <c r="E11" i="3"/>
  <c r="L11" i="3"/>
  <c r="N11" i="3" s="1"/>
  <c r="B11" i="3"/>
  <c r="B10" i="3"/>
  <c r="L9" i="3"/>
  <c r="J9" i="3"/>
  <c r="L8" i="3"/>
  <c r="J8" i="3"/>
  <c r="C6" i="3"/>
  <c r="M4" i="3"/>
  <c r="L4" i="3"/>
  <c r="D4" i="3"/>
  <c r="B4" i="3"/>
  <c r="D15" i="2"/>
  <c r="O16" i="8" s="1"/>
  <c r="C15" i="2"/>
  <c r="C14" i="2"/>
  <c r="C13" i="2"/>
  <c r="D14" i="2"/>
  <c r="D13" i="2"/>
  <c r="E13" i="2" s="1"/>
  <c r="O17" i="8" s="1"/>
  <c r="P17" i="8" s="1"/>
  <c r="E5" i="6"/>
  <c r="F5" i="6" s="1"/>
  <c r="G5" i="6" s="1"/>
  <c r="B29" i="6" s="1"/>
  <c r="E20" i="6"/>
  <c r="F20" i="6" s="1"/>
  <c r="B28" i="6" s="1"/>
  <c r="M22" i="8" s="1"/>
  <c r="P22" i="8" s="1"/>
  <c r="G12" i="6"/>
  <c r="M44" i="8" s="1"/>
  <c r="P44" i="8" s="1"/>
  <c r="G10" i="6"/>
  <c r="M42" i="8" s="1"/>
  <c r="P42" i="8" s="1"/>
  <c r="G11" i="6"/>
  <c r="M43" i="8" s="1"/>
  <c r="P43" i="8" s="1"/>
  <c r="G9" i="6"/>
  <c r="M40" i="8" s="1"/>
  <c r="P40" i="8" s="1"/>
  <c r="E6" i="6"/>
  <c r="F6" i="6" s="1"/>
  <c r="G6" i="6" s="1"/>
  <c r="B31" i="6" s="1"/>
  <c r="M16" i="8" s="1"/>
  <c r="E7" i="6"/>
  <c r="F7" i="6" s="1"/>
  <c r="G7" i="6" s="1"/>
  <c r="B30" i="6" s="1"/>
  <c r="M15" i="8" s="1"/>
  <c r="P15" i="8" s="1"/>
  <c r="E8" i="6"/>
  <c r="F8" i="6" s="1"/>
  <c r="G8" i="6" s="1"/>
  <c r="B32" i="6" s="1"/>
  <c r="M20" i="8" s="1"/>
  <c r="P20" i="8" s="1"/>
  <c r="E4" i="6"/>
  <c r="F4" i="6" s="1"/>
  <c r="G4" i="6" s="1"/>
  <c r="B27" i="6" s="1"/>
  <c r="M21" i="8" s="1"/>
  <c r="P21" i="8" s="1"/>
  <c r="M8" i="7"/>
  <c r="N8" i="7" s="1"/>
  <c r="L19" i="8" l="1"/>
  <c r="P19" i="8" s="1"/>
  <c r="O23" i="8"/>
  <c r="B8" i="3"/>
  <c r="M8" i="3"/>
  <c r="D8" i="3"/>
  <c r="J14" i="3"/>
  <c r="M9" i="3"/>
  <c r="N9" i="3" s="1"/>
  <c r="D9" i="3"/>
  <c r="L16" i="3"/>
  <c r="D16" i="3"/>
  <c r="E16" i="3" s="1"/>
  <c r="L15" i="3"/>
  <c r="D15" i="3"/>
  <c r="E15" i="3" s="1"/>
  <c r="M10" i="8"/>
  <c r="P10" i="8" s="1"/>
  <c r="N10" i="3"/>
  <c r="N18" i="3"/>
  <c r="N8" i="3"/>
  <c r="N24" i="3"/>
  <c r="P16" i="8"/>
  <c r="N4" i="3"/>
  <c r="E31" i="3"/>
  <c r="N20" i="3"/>
  <c r="N19" i="3"/>
  <c r="C7" i="3"/>
  <c r="D28" i="3"/>
  <c r="E28" i="3" s="1"/>
  <c r="L28" i="3"/>
  <c r="N28" i="3" s="1"/>
  <c r="D25" i="3"/>
  <c r="E25" i="3" s="1"/>
  <c r="L25" i="3"/>
  <c r="N25" i="3" s="1"/>
  <c r="D26" i="3"/>
  <c r="E26" i="3" s="1"/>
  <c r="L26" i="3"/>
  <c r="N26" i="3" s="1"/>
  <c r="J29" i="3"/>
  <c r="L29" i="3" s="1"/>
  <c r="N29" i="3" s="1"/>
  <c r="J30" i="3"/>
  <c r="B30" i="3" s="1"/>
  <c r="B28" i="3"/>
  <c r="E27" i="3"/>
  <c r="E23" i="3"/>
  <c r="B22" i="3"/>
  <c r="E18" i="3"/>
  <c r="B21" i="3"/>
  <c r="D21" i="3"/>
  <c r="E21" i="3" s="1"/>
  <c r="E22" i="3"/>
  <c r="B25" i="3"/>
  <c r="L22" i="3"/>
  <c r="L21" i="3"/>
  <c r="N21" i="3" s="1"/>
  <c r="M22" i="3"/>
  <c r="B26" i="3"/>
  <c r="B15" i="3"/>
  <c r="E19" i="3"/>
  <c r="B16" i="3"/>
  <c r="M16" i="3"/>
  <c r="N16" i="3" s="1"/>
  <c r="M15" i="3"/>
  <c r="M14" i="3"/>
  <c r="L14" i="3"/>
  <c r="J13" i="3"/>
  <c r="D13" i="3" s="1"/>
  <c r="E13" i="3" s="1"/>
  <c r="B5" i="7"/>
  <c r="D5" i="7"/>
  <c r="E5" i="7" s="1"/>
  <c r="M5" i="7"/>
  <c r="N5" i="7" s="1"/>
  <c r="L45" i="8" s="1"/>
  <c r="L23" i="8" l="1"/>
  <c r="F5" i="7"/>
  <c r="N15" i="3"/>
  <c r="B14" i="3"/>
  <c r="D14" i="3"/>
  <c r="E14" i="3" s="1"/>
  <c r="M23" i="8"/>
  <c r="B39" i="3"/>
  <c r="K12" i="8" s="1"/>
  <c r="N22" i="3"/>
  <c r="D30" i="3"/>
  <c r="E30" i="3" s="1"/>
  <c r="L30" i="3"/>
  <c r="N30" i="3" s="1"/>
  <c r="N14" i="3"/>
  <c r="N7" i="3"/>
  <c r="E7" i="3"/>
  <c r="D29" i="3"/>
  <c r="E29" i="3" s="1"/>
  <c r="B29" i="3"/>
  <c r="B13" i="3"/>
  <c r="M13" i="3"/>
  <c r="L13" i="3"/>
  <c r="N13" i="3" s="1"/>
  <c r="P12" i="8" l="1"/>
  <c r="E9" i="3"/>
  <c r="B9" i="3"/>
  <c r="E8" i="3"/>
  <c r="L6" i="3"/>
  <c r="N6" i="3" s="1"/>
  <c r="D6" i="3"/>
  <c r="E6" i="3" s="1"/>
  <c r="L5" i="3"/>
  <c r="N5" i="3" s="1"/>
  <c r="D5" i="3"/>
  <c r="E5" i="3" s="1"/>
  <c r="B5" i="3"/>
  <c r="E4" i="3"/>
  <c r="B38" i="3" s="1"/>
  <c r="K9" i="8" s="1"/>
  <c r="P9" i="8" l="1"/>
  <c r="K23" i="8"/>
  <c r="P23" i="8" s="1"/>
  <c r="B41" i="3"/>
  <c r="K46" i="8" s="1"/>
  <c r="P46" i="8" s="1"/>
  <c r="B40" i="3"/>
  <c r="K45" i="8" s="1"/>
  <c r="P45" i="8" s="1"/>
  <c r="E32" i="3"/>
  <c r="E33" i="3" l="1"/>
  <c r="E34" i="3" l="1"/>
</calcChain>
</file>

<file path=xl/sharedStrings.xml><?xml version="1.0" encoding="utf-8"?>
<sst xmlns="http://schemas.openxmlformats.org/spreadsheetml/2006/main" count="258" uniqueCount="168">
  <si>
    <t>编号</t>
  </si>
  <si>
    <t>规格(mm)</t>
  </si>
  <si>
    <t>数量</t>
  </si>
  <si>
    <t>单件重(kg)</t>
  </si>
  <si>
    <t>共重(kg)</t>
  </si>
  <si>
    <t>长边</t>
    <phoneticPr fontId="1" type="noConversion"/>
  </si>
  <si>
    <t>厚度</t>
    <phoneticPr fontId="1" type="noConversion"/>
  </si>
  <si>
    <t>短边</t>
    <phoneticPr fontId="1" type="noConversion"/>
  </si>
  <si>
    <t>侧面S</t>
    <phoneticPr fontId="1" type="noConversion"/>
  </si>
  <si>
    <t>合计（kg）</t>
    <phoneticPr fontId="1" type="noConversion"/>
  </si>
  <si>
    <t>总计（kg）</t>
    <phoneticPr fontId="1" type="noConversion"/>
  </si>
  <si>
    <t>涂装</t>
    <phoneticPr fontId="1" type="noConversion"/>
  </si>
  <si>
    <t>焊缝1.5%（kg）</t>
    <phoneticPr fontId="1" type="noConversion"/>
  </si>
  <si>
    <t>A1</t>
    <phoneticPr fontId="1" type="noConversion"/>
  </si>
  <si>
    <t>A2</t>
  </si>
  <si>
    <t>-</t>
    <phoneticPr fontId="1" type="noConversion"/>
  </si>
  <si>
    <t>牌号</t>
    <phoneticPr fontId="1" type="noConversion"/>
  </si>
  <si>
    <t>雨水篦子</t>
    <phoneticPr fontId="1" type="noConversion"/>
  </si>
  <si>
    <t>横向排水管</t>
    <phoneticPr fontId="1" type="noConversion"/>
  </si>
  <si>
    <t>吊架1</t>
    <phoneticPr fontId="1" type="noConversion"/>
  </si>
  <si>
    <t>弯头1</t>
    <phoneticPr fontId="1" type="noConversion"/>
  </si>
  <si>
    <t>三通1</t>
    <phoneticPr fontId="1" type="noConversion"/>
  </si>
  <si>
    <t>三通2</t>
  </si>
  <si>
    <t>纵向集水管</t>
  </si>
  <si>
    <t>名称及编号</t>
    <phoneticPr fontId="1" type="noConversion"/>
  </si>
  <si>
    <t>φ150×8×6410</t>
    <phoneticPr fontId="1" type="noConversion"/>
  </si>
  <si>
    <t>φ150×150</t>
    <phoneticPr fontId="1" type="noConversion"/>
  </si>
  <si>
    <t>φ150×150×150</t>
    <phoneticPr fontId="1" type="noConversion"/>
  </si>
  <si>
    <t>φ150×377×377</t>
    <phoneticPr fontId="1" type="noConversion"/>
  </si>
  <si>
    <t>横向一组泄水孔数量</t>
    <phoneticPr fontId="1" type="noConversion"/>
  </si>
  <si>
    <t>聚酯螺旋排水管</t>
  </si>
  <si>
    <t>全桥合计(共41组）</t>
    <phoneticPr fontId="1" type="noConversion"/>
  </si>
  <si>
    <t>D150×16</t>
    <phoneticPr fontId="1" type="noConversion"/>
  </si>
  <si>
    <t>D8×130</t>
    <phoneticPr fontId="1" type="noConversion"/>
  </si>
  <si>
    <t>φ377×8×20376(全长)</t>
    <phoneticPr fontId="1" type="noConversion"/>
  </si>
  <si>
    <t>吊架2</t>
    <phoneticPr fontId="1" type="noConversion"/>
  </si>
  <si>
    <t>□65×6×2366</t>
    <phoneticPr fontId="1" type="noConversion"/>
  </si>
  <si>
    <t>法兰伸缩器</t>
    <phoneticPr fontId="1" type="noConversion"/>
  </si>
  <si>
    <t>YSSJA-2法兰限位伸缩器</t>
    <phoneticPr fontId="1" type="noConversion"/>
  </si>
  <si>
    <t>车行</t>
    <phoneticPr fontId="1" type="noConversion"/>
  </si>
  <si>
    <t>伸缩缝</t>
    <phoneticPr fontId="1" type="noConversion"/>
  </si>
  <si>
    <t>240型</t>
    <phoneticPr fontId="1" type="noConversion"/>
  </si>
  <si>
    <t>人行</t>
    <phoneticPr fontId="1" type="noConversion"/>
  </si>
  <si>
    <t>40.6/8</t>
    <phoneticPr fontId="1" type="noConversion"/>
  </si>
  <si>
    <t>N1</t>
    <phoneticPr fontId="1" type="noConversion"/>
  </si>
  <si>
    <t>N2</t>
  </si>
  <si>
    <t>N3</t>
  </si>
  <si>
    <t>M16螺栓(套)</t>
    <phoneticPr fontId="1" type="noConversion"/>
  </si>
  <si>
    <t>N4</t>
  </si>
  <si>
    <t>氯丁橡胶止水带</t>
  </si>
  <si>
    <t>50×959</t>
  </si>
  <si>
    <t>钢材(Q235B)</t>
    <phoneticPr fontId="1" type="noConversion"/>
  </si>
  <si>
    <t>A2</t>
    <phoneticPr fontId="1" type="noConversion"/>
  </si>
  <si>
    <t>A3</t>
  </si>
  <si>
    <t>B1</t>
    <phoneticPr fontId="1" type="noConversion"/>
  </si>
  <si>
    <t>B2</t>
    <phoneticPr fontId="1" type="noConversion"/>
  </si>
  <si>
    <t>B1a</t>
    <phoneticPr fontId="1" type="noConversion"/>
  </si>
  <si>
    <t>B2a</t>
    <phoneticPr fontId="1" type="noConversion"/>
  </si>
  <si>
    <t>B1b</t>
    <phoneticPr fontId="1" type="noConversion"/>
  </si>
  <si>
    <t>B2b</t>
    <phoneticPr fontId="1" type="noConversion"/>
  </si>
  <si>
    <t>B1c</t>
    <phoneticPr fontId="1" type="noConversion"/>
  </si>
  <si>
    <t>B2c</t>
    <phoneticPr fontId="1" type="noConversion"/>
  </si>
  <si>
    <t>B3</t>
    <phoneticPr fontId="1" type="noConversion"/>
  </si>
  <si>
    <t>B4</t>
  </si>
  <si>
    <t>C1</t>
    <phoneticPr fontId="1" type="noConversion"/>
  </si>
  <si>
    <t>D1</t>
    <phoneticPr fontId="1" type="noConversion"/>
  </si>
  <si>
    <t>C1a</t>
    <phoneticPr fontId="1" type="noConversion"/>
  </si>
  <si>
    <t>C1b</t>
    <phoneticPr fontId="1" type="noConversion"/>
  </si>
  <si>
    <t>D2</t>
    <phoneticPr fontId="1" type="noConversion"/>
  </si>
  <si>
    <t>D1a</t>
    <phoneticPr fontId="1" type="noConversion"/>
  </si>
  <si>
    <t>D1b</t>
    <phoneticPr fontId="1" type="noConversion"/>
  </si>
  <si>
    <t>C2</t>
    <phoneticPr fontId="1" type="noConversion"/>
  </si>
  <si>
    <t>E1</t>
    <phoneticPr fontId="1" type="noConversion"/>
  </si>
  <si>
    <t>E1a</t>
    <phoneticPr fontId="1" type="noConversion"/>
  </si>
  <si>
    <t>泄水管</t>
    <phoneticPr fontId="1" type="noConversion"/>
  </si>
  <si>
    <t>A4</t>
    <phoneticPr fontId="1" type="noConversion"/>
  </si>
  <si>
    <t>Q235B</t>
    <phoneticPr fontId="1" type="noConversion"/>
  </si>
  <si>
    <t>D2</t>
  </si>
  <si>
    <t>螺栓</t>
    <phoneticPr fontId="1" type="noConversion"/>
  </si>
  <si>
    <t>M16</t>
    <phoneticPr fontId="1" type="noConversion"/>
  </si>
  <si>
    <t>M22</t>
    <phoneticPr fontId="1" type="noConversion"/>
  </si>
  <si>
    <t>材料名称</t>
  </si>
  <si>
    <t>规格</t>
  </si>
  <si>
    <t>单位</t>
  </si>
  <si>
    <t>合计</t>
    <phoneticPr fontId="1" type="noConversion"/>
  </si>
  <si>
    <t>钢材</t>
    <phoneticPr fontId="1" type="noConversion"/>
  </si>
  <si>
    <t>t=8</t>
    <phoneticPr fontId="1" type="noConversion"/>
  </si>
  <si>
    <t>kg</t>
  </si>
  <si>
    <t>t=16</t>
    <phoneticPr fontId="1" type="noConversion"/>
  </si>
  <si>
    <t>t=20</t>
    <phoneticPr fontId="1" type="noConversion"/>
  </si>
  <si>
    <t>t=50</t>
    <phoneticPr fontId="1" type="noConversion"/>
  </si>
  <si>
    <t>t=40</t>
    <phoneticPr fontId="1" type="noConversion"/>
  </si>
  <si>
    <t>小计</t>
  </si>
  <si>
    <t>套</t>
    <phoneticPr fontId="1" type="noConversion"/>
  </si>
  <si>
    <t>外表面涂装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</si>
  <si>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</si>
  <si>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内表面涂装</t>
    <phoneticPr fontId="1" type="noConversion"/>
  </si>
  <si>
    <t>Q235B</t>
  </si>
  <si>
    <t>□166×15×288</t>
    <phoneticPr fontId="1" type="noConversion"/>
  </si>
  <si>
    <t>□206×50×328</t>
    <phoneticPr fontId="1" type="noConversion"/>
  </si>
  <si>
    <t>t=6</t>
    <phoneticPr fontId="1" type="noConversion"/>
  </si>
  <si>
    <t>t=15</t>
    <phoneticPr fontId="1" type="noConversion"/>
  </si>
  <si>
    <t>t=4</t>
    <phoneticPr fontId="1" type="noConversion"/>
  </si>
  <si>
    <t>□65×6×1120</t>
    <phoneticPr fontId="1" type="noConversion"/>
  </si>
  <si>
    <t>弯头2</t>
    <phoneticPr fontId="1" type="noConversion"/>
  </si>
  <si>
    <t>φ377×377</t>
    <phoneticPr fontId="1" type="noConversion"/>
  </si>
  <si>
    <t>人行护栏</t>
    <phoneticPr fontId="1" type="noConversion"/>
  </si>
  <si>
    <t>外涂</t>
    <phoneticPr fontId="1" type="noConversion"/>
  </si>
  <si>
    <t>内涂</t>
    <phoneticPr fontId="1" type="noConversion"/>
  </si>
  <si>
    <t>φ150×8</t>
  </si>
  <si>
    <t>φ377×8</t>
  </si>
  <si>
    <t>t=10</t>
    <phoneticPr fontId="1" type="noConversion"/>
  </si>
  <si>
    <t>路灯</t>
    <phoneticPr fontId="1" type="noConversion"/>
  </si>
  <si>
    <t>排水</t>
    <phoneticPr fontId="1" type="noConversion"/>
  </si>
  <si>
    <t>φ150×8钢管</t>
    <phoneticPr fontId="1" type="noConversion"/>
  </si>
  <si>
    <t>φ377×8钢管</t>
    <phoneticPr fontId="1" type="noConversion"/>
  </si>
  <si>
    <t>m/道</t>
    <phoneticPr fontId="1" type="noConversion"/>
  </si>
  <si>
    <t>m</t>
    <phoneticPr fontId="1" type="noConversion"/>
  </si>
  <si>
    <t>弯头</t>
    <phoneticPr fontId="1" type="noConversion"/>
  </si>
  <si>
    <t>φ150×150</t>
  </si>
  <si>
    <t>φ377×377</t>
  </si>
  <si>
    <t>个</t>
    <phoneticPr fontId="1" type="noConversion"/>
  </si>
  <si>
    <t>三通</t>
    <phoneticPr fontId="1" type="noConversion"/>
  </si>
  <si>
    <t>φ150×150×150</t>
  </si>
  <si>
    <t>φ150×377×377</t>
  </si>
  <si>
    <t>YSSJA-2法兰限位伸缩器</t>
  </si>
  <si>
    <t>横梁</t>
    <phoneticPr fontId="1" type="noConversion"/>
  </si>
  <si>
    <t>底座</t>
    <phoneticPr fontId="1" type="noConversion"/>
  </si>
  <si>
    <t>中央防撞护栏立柱</t>
    <phoneticPr fontId="1" type="noConversion"/>
  </si>
  <si>
    <t>边防撞护栏立柱</t>
    <phoneticPr fontId="1" type="noConversion"/>
  </si>
  <si>
    <t>t=5</t>
    <phoneticPr fontId="1" type="noConversion"/>
  </si>
  <si>
    <t>t=12</t>
    <phoneticPr fontId="1" type="noConversion"/>
  </si>
  <si>
    <t>t=14</t>
    <phoneticPr fontId="1" type="noConversion"/>
  </si>
  <si>
    <t>M12</t>
    <phoneticPr fontId="1" type="noConversion"/>
  </si>
  <si>
    <t>垫圈</t>
    <phoneticPr fontId="1" type="noConversion"/>
  </si>
  <si>
    <t>螺母</t>
    <phoneticPr fontId="1" type="noConversion"/>
  </si>
  <si>
    <t>防撞护栏连接</t>
    <phoneticPr fontId="1" type="noConversion"/>
  </si>
  <si>
    <t>M14</t>
    <phoneticPr fontId="1" type="noConversion"/>
  </si>
  <si>
    <t>水泥砂浆</t>
    <phoneticPr fontId="1" type="noConversion"/>
  </si>
  <si>
    <t>环氧沥青涂层</t>
    <phoneticPr fontId="1" type="noConversion"/>
  </si>
  <si>
    <t>防水层</t>
    <phoneticPr fontId="1" type="noConversion"/>
  </si>
  <si>
    <t>B1d</t>
    <phoneticPr fontId="1" type="noConversion"/>
  </si>
  <si>
    <t>参数</t>
    <phoneticPr fontId="1" type="noConversion"/>
  </si>
  <si>
    <t>α</t>
    <phoneticPr fontId="1" type="noConversion"/>
  </si>
  <si>
    <t>°</t>
    <phoneticPr fontId="1" type="noConversion"/>
  </si>
  <si>
    <t>L1</t>
    <phoneticPr fontId="1" type="noConversion"/>
  </si>
  <si>
    <t>L2</t>
  </si>
  <si>
    <t>mm</t>
    <phoneticPr fontId="1" type="noConversion"/>
  </si>
  <si>
    <t>变化点1</t>
    <phoneticPr fontId="1" type="noConversion"/>
  </si>
  <si>
    <t>变化点2</t>
  </si>
  <si>
    <t>变化点3</t>
  </si>
  <si>
    <t>变化点4</t>
  </si>
  <si>
    <t>B2d</t>
    <phoneticPr fontId="1" type="noConversion"/>
  </si>
  <si>
    <t>M16螺栓（个）</t>
    <phoneticPr fontId="1" type="noConversion"/>
  </si>
  <si>
    <t>氯丁橡胶止水带</t>
    <phoneticPr fontId="1" type="noConversion"/>
  </si>
  <si>
    <t>50×959</t>
    <phoneticPr fontId="1" type="noConversion"/>
  </si>
  <si>
    <t>49/2</t>
    <phoneticPr fontId="1" type="noConversion"/>
  </si>
  <si>
    <t>铺装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</si>
  <si>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/>
    </r>
  </si>
  <si>
    <t>环氧沥青混合料EA10</t>
    <phoneticPr fontId="1" type="noConversion"/>
  </si>
  <si>
    <t>花岗岩方砖</t>
    <phoneticPr fontId="1" type="noConversion"/>
  </si>
  <si>
    <t>桥面铺装</t>
    <phoneticPr fontId="1" type="noConversion"/>
  </si>
  <si>
    <t>M30</t>
    <phoneticPr fontId="1" type="noConversion"/>
  </si>
  <si>
    <t>kg</t>
    <phoneticPr fontId="1" type="noConversion"/>
  </si>
  <si>
    <t>D2a</t>
    <phoneticPr fontId="1" type="noConversion"/>
  </si>
  <si>
    <t>Q355C</t>
    <phoneticPr fontId="1" type="noConversion"/>
  </si>
  <si>
    <t>D2b</t>
    <phoneticPr fontId="1" type="noConversion"/>
  </si>
  <si>
    <t>t=28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</si>
</sst>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"/>
    <numFmt numFmtId="178" formatCode="0.00_ "/>
    <numFmt numFmtId="179" formatCode="&quot;均&quot;0.00"/>
    <numFmt numFmtId="180" formatCode="0.00000_ "/>
    <numFmt numFmtId="181" formatCode="0.0_);[Red]\(0.0\)"/>
    <numFmt numFmtId="182" formatCode="0.000"/>
    <numFmt numFmtId="183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81" fontId="0" fillId="0" borderId="1" xfId="0" applyNumberForma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C4CE-AC73-4A76-9DB5-56EB79E4C2CB}">
  <dimension ref="A2:O34"/>
  <sheetViews>
    <sheetView workbookViewId="0">
      <selection activeCell="A9" sqref="A9:XFD12"/>
    </sheetView>
  </sheetViews>
  <sheetFormatPr defaultColWidth="9" defaultRowHeight="13.8" x14ac:dyDescent="0.25"/>
  <cols>
    <col min="1" max="1" width="11.6640625" style="1" customWidth="1"/>
    <col min="2" max="2" width="12.6640625" style="1" bestFit="1" customWidth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16384" width="9" style="1"/>
  </cols>
  <sheetData>
    <row r="2" spans="1:13" x14ac:dyDescent="0.25">
      <c r="A2" s="30" t="s">
        <v>29</v>
      </c>
      <c r="B2" s="30"/>
      <c r="C2" s="30"/>
      <c r="D2" s="30"/>
      <c r="E2" s="30"/>
      <c r="F2" s="30"/>
      <c r="G2" s="30" t="s">
        <v>31</v>
      </c>
    </row>
    <row r="3" spans="1:13" ht="13.5" customHeight="1" x14ac:dyDescent="0.25">
      <c r="A3" s="33" t="s">
        <v>24</v>
      </c>
      <c r="B3" s="33"/>
      <c r="C3" s="2" t="s">
        <v>1</v>
      </c>
      <c r="D3" s="2" t="s">
        <v>2</v>
      </c>
      <c r="E3" s="2" t="s">
        <v>3</v>
      </c>
      <c r="F3" s="2" t="s">
        <v>4</v>
      </c>
      <c r="G3" s="30"/>
      <c r="I3" s="31" t="s">
        <v>11</v>
      </c>
      <c r="J3" s="31"/>
    </row>
    <row r="4" spans="1:13" x14ac:dyDescent="0.25">
      <c r="A4" s="30" t="s">
        <v>18</v>
      </c>
      <c r="B4" s="30"/>
      <c r="C4" s="4" t="s">
        <v>25</v>
      </c>
      <c r="D4" s="2">
        <v>2</v>
      </c>
      <c r="E4" s="3">
        <f>3568.8493/1000000*(6410/1000)*7850</f>
        <v>179.57914350205002</v>
      </c>
      <c r="F4" s="3">
        <f t="shared" ref="F4:F8" si="0">D4*E4</f>
        <v>359.15828700410003</v>
      </c>
      <c r="G4" s="8">
        <f>F4*41</f>
        <v>14725.489767168101</v>
      </c>
      <c r="H4" s="32" t="s">
        <v>76</v>
      </c>
      <c r="I4" s="5">
        <f>(PI()*150+PI()*142)*6410/1000000</f>
        <v>5.8801818015770886</v>
      </c>
      <c r="J4" s="1">
        <f>I4*D4*41</f>
        <v>482.17490772932126</v>
      </c>
      <c r="M4" s="6"/>
    </row>
    <row r="5" spans="1:13" x14ac:dyDescent="0.25">
      <c r="A5" s="30" t="s">
        <v>19</v>
      </c>
      <c r="B5" s="30"/>
      <c r="C5" s="4" t="s">
        <v>36</v>
      </c>
      <c r="D5" s="2">
        <v>4</v>
      </c>
      <c r="E5" s="3">
        <f>2366*6*65/1000000000*7850</f>
        <v>7.2435090000000004</v>
      </c>
      <c r="F5" s="3">
        <f t="shared" si="0"/>
        <v>28.974036000000002</v>
      </c>
      <c r="G5" s="8">
        <f t="shared" ref="G5:G8" si="1">F5*41</f>
        <v>1187.9354760000001</v>
      </c>
      <c r="H5" s="32"/>
      <c r="I5" s="5">
        <f>0.065*2.366*2</f>
        <v>0.30758000000000002</v>
      </c>
      <c r="J5" s="1">
        <f>I5*D5*41</f>
        <v>50.44312</v>
      </c>
      <c r="M5" s="6"/>
    </row>
    <row r="6" spans="1:13" x14ac:dyDescent="0.25">
      <c r="A6" s="30" t="s">
        <v>17</v>
      </c>
      <c r="B6" s="30"/>
      <c r="C6" s="2" t="s">
        <v>32</v>
      </c>
      <c r="D6" s="2">
        <v>2</v>
      </c>
      <c r="E6" s="3">
        <f>0.0177*0.0016*7850</f>
        <v>0.22231200000000004</v>
      </c>
      <c r="F6" s="3">
        <f t="shared" ref="F6" si="2">D6*E6</f>
        <v>0.44462400000000007</v>
      </c>
      <c r="G6" s="8">
        <f t="shared" si="1"/>
        <v>18.229584000000003</v>
      </c>
      <c r="H6" s="32"/>
      <c r="I6" s="5">
        <f>PI()*150*2/1000000</f>
        <v>9.4247779607693793E-4</v>
      </c>
      <c r="J6" s="1">
        <f>I6*D6*41</f>
        <v>7.7283179278308911E-2</v>
      </c>
      <c r="M6" s="6"/>
    </row>
    <row r="7" spans="1:13" x14ac:dyDescent="0.25">
      <c r="A7" s="30" t="s">
        <v>13</v>
      </c>
      <c r="B7" s="30"/>
      <c r="C7" s="4" t="s">
        <v>98</v>
      </c>
      <c r="D7" s="2">
        <v>2</v>
      </c>
      <c r="E7" s="3">
        <f>0.166*0.015*0.288*7850</f>
        <v>5.6293919999999993</v>
      </c>
      <c r="F7" s="3">
        <f t="shared" ref="F7" si="3">D7*E7</f>
        <v>11.258783999999999</v>
      </c>
      <c r="G7" s="8">
        <f t="shared" si="1"/>
        <v>461.61014399999993</v>
      </c>
      <c r="H7" s="32"/>
      <c r="I7" s="5">
        <f>0.166*0.288*2</f>
        <v>9.5615999999999993E-2</v>
      </c>
      <c r="J7" s="1">
        <f>I7*D7*41</f>
        <v>7.8405119999999995</v>
      </c>
      <c r="M7" s="6"/>
    </row>
    <row r="8" spans="1:13" x14ac:dyDescent="0.25">
      <c r="A8" s="30" t="s">
        <v>14</v>
      </c>
      <c r="B8" s="30"/>
      <c r="C8" s="4" t="s">
        <v>99</v>
      </c>
      <c r="D8" s="2">
        <v>2</v>
      </c>
      <c r="E8" s="3">
        <f>33264/1000000*(50/1000)*7850</f>
        <v>13.05612</v>
      </c>
      <c r="F8" s="3">
        <f t="shared" si="0"/>
        <v>26.11224</v>
      </c>
      <c r="G8" s="8">
        <f t="shared" si="1"/>
        <v>1070.60184</v>
      </c>
      <c r="H8" s="32"/>
      <c r="I8" s="5">
        <f>0.206*0.328*2</f>
        <v>0.13513600000000001</v>
      </c>
      <c r="J8" s="1">
        <f>I8*D8*41</f>
        <v>11.081152000000001</v>
      </c>
      <c r="M8" s="6"/>
    </row>
    <row r="9" spans="1:13" x14ac:dyDescent="0.25">
      <c r="A9" s="30" t="s">
        <v>20</v>
      </c>
      <c r="B9" s="30"/>
      <c r="C9" s="4" t="s">
        <v>26</v>
      </c>
      <c r="D9" s="2">
        <v>2</v>
      </c>
      <c r="E9" s="3"/>
      <c r="F9" s="3"/>
      <c r="G9" s="11">
        <f>D9*41</f>
        <v>82</v>
      </c>
      <c r="I9" s="5"/>
      <c r="M9" s="6"/>
    </row>
    <row r="10" spans="1:13" x14ac:dyDescent="0.25">
      <c r="A10" s="30" t="s">
        <v>21</v>
      </c>
      <c r="B10" s="30"/>
      <c r="C10" s="4" t="s">
        <v>27</v>
      </c>
      <c r="D10" s="2">
        <v>2</v>
      </c>
      <c r="E10" s="3"/>
      <c r="F10" s="3"/>
      <c r="G10" s="11">
        <f t="shared" ref="G10:G12" si="4">D10*41</f>
        <v>82</v>
      </c>
      <c r="I10" s="5"/>
      <c r="M10" s="6"/>
    </row>
    <row r="11" spans="1:13" x14ac:dyDescent="0.25">
      <c r="A11" s="30" t="s">
        <v>22</v>
      </c>
      <c r="B11" s="30"/>
      <c r="C11" s="4" t="s">
        <v>28</v>
      </c>
      <c r="D11" s="2">
        <v>2</v>
      </c>
      <c r="E11" s="3"/>
      <c r="F11" s="3"/>
      <c r="G11" s="11">
        <f t="shared" si="4"/>
        <v>82</v>
      </c>
      <c r="I11" s="5"/>
      <c r="M11" s="6"/>
    </row>
    <row r="12" spans="1:13" x14ac:dyDescent="0.25">
      <c r="A12" s="30" t="s">
        <v>30</v>
      </c>
      <c r="B12" s="30"/>
      <c r="C12" s="2" t="s">
        <v>33</v>
      </c>
      <c r="D12" s="2">
        <v>2</v>
      </c>
      <c r="E12" s="3"/>
      <c r="F12" s="3"/>
      <c r="G12" s="11">
        <f t="shared" si="4"/>
        <v>82</v>
      </c>
      <c r="I12" s="5"/>
      <c r="M12" s="6"/>
    </row>
    <row r="13" spans="1:13" x14ac:dyDescent="0.25">
      <c r="C13" s="12"/>
      <c r="D13" s="12"/>
      <c r="E13" s="13"/>
      <c r="F13" s="13"/>
      <c r="G13" s="14"/>
      <c r="I13" s="5"/>
      <c r="M13" s="6"/>
    </row>
    <row r="14" spans="1:13" x14ac:dyDescent="0.25">
      <c r="C14" s="12"/>
      <c r="D14" s="12"/>
      <c r="E14" s="13"/>
      <c r="F14" s="13"/>
      <c r="G14" s="14"/>
      <c r="I14" s="5"/>
      <c r="M14" s="6"/>
    </row>
    <row r="15" spans="1:13" x14ac:dyDescent="0.25">
      <c r="C15" s="12"/>
      <c r="D15" s="12"/>
      <c r="E15" s="13"/>
      <c r="F15" s="13"/>
      <c r="G15" s="14"/>
      <c r="I15" s="5"/>
      <c r="M15" s="6"/>
    </row>
    <row r="16" spans="1:13" x14ac:dyDescent="0.25">
      <c r="C16" s="12"/>
      <c r="D16" s="12"/>
      <c r="E16" s="13"/>
      <c r="F16" s="13"/>
      <c r="G16" s="14"/>
      <c r="I16" s="5"/>
      <c r="M16" s="6"/>
    </row>
    <row r="17" spans="1:15" x14ac:dyDescent="0.25">
      <c r="C17" s="12"/>
      <c r="D17" s="12"/>
      <c r="E17" s="13"/>
      <c r="F17" s="13"/>
      <c r="G17" s="14"/>
      <c r="I17" s="5"/>
      <c r="M17" s="6"/>
    </row>
    <row r="18" spans="1:15" x14ac:dyDescent="0.25">
      <c r="C18" s="12"/>
      <c r="D18" s="12"/>
      <c r="E18" s="13"/>
      <c r="F18" s="13"/>
      <c r="G18" s="14"/>
      <c r="I18" s="5"/>
      <c r="M18" s="6"/>
    </row>
    <row r="19" spans="1:15" x14ac:dyDescent="0.25">
      <c r="A19" s="33" t="s">
        <v>24</v>
      </c>
      <c r="B19" s="33"/>
      <c r="C19" s="2" t="s">
        <v>1</v>
      </c>
      <c r="D19" s="2" t="s">
        <v>2</v>
      </c>
      <c r="E19" s="2" t="s">
        <v>3</v>
      </c>
      <c r="F19" s="2" t="s">
        <v>4</v>
      </c>
      <c r="G19" s="14"/>
      <c r="I19" s="5"/>
      <c r="M19" s="6"/>
      <c r="O19" s="15"/>
    </row>
    <row r="20" spans="1:15" x14ac:dyDescent="0.25">
      <c r="A20" s="30" t="s">
        <v>23</v>
      </c>
      <c r="B20" s="30"/>
      <c r="C20" s="4" t="s">
        <v>34</v>
      </c>
      <c r="D20" s="2">
        <v>2</v>
      </c>
      <c r="E20" s="3">
        <f>9273.9815/1000000*(20376/1000)*7850</f>
        <v>1483.3881792954001</v>
      </c>
      <c r="F20" s="3">
        <f t="shared" ref="F20" si="5">D20*E20</f>
        <v>2966.7763585908001</v>
      </c>
      <c r="G20" s="34" t="s">
        <v>97</v>
      </c>
      <c r="I20" s="5">
        <f>(PI()*377+PI()*369)*20376/1000000</f>
        <v>47.753766564521037</v>
      </c>
      <c r="J20" s="1">
        <f>I20*D20</f>
        <v>95.507533129042073</v>
      </c>
      <c r="M20" s="6"/>
      <c r="O20" s="15"/>
    </row>
    <row r="21" spans="1:15" x14ac:dyDescent="0.25">
      <c r="A21" s="30" t="s">
        <v>35</v>
      </c>
      <c r="B21" s="30"/>
      <c r="C21" s="4" t="s">
        <v>103</v>
      </c>
      <c r="D21" s="2">
        <f>13*4</f>
        <v>52</v>
      </c>
      <c r="E21" s="3">
        <f>1120*6*65/1000000000*7850</f>
        <v>3.4288799999999999</v>
      </c>
      <c r="F21" s="3">
        <f t="shared" ref="F21" si="6">D21*E21</f>
        <v>178.30176</v>
      </c>
      <c r="G21" s="34"/>
      <c r="I21" s="5">
        <f>0.065*1.12*2</f>
        <v>0.14560000000000001</v>
      </c>
      <c r="J21" s="1">
        <f>I21*D21</f>
        <v>7.5712000000000002</v>
      </c>
      <c r="M21" s="6"/>
    </row>
    <row r="22" spans="1:15" x14ac:dyDescent="0.25">
      <c r="A22" s="30" t="s">
        <v>104</v>
      </c>
      <c r="B22" s="30"/>
      <c r="C22" s="4" t="s">
        <v>105</v>
      </c>
      <c r="D22" s="2">
        <f>2*4</f>
        <v>8</v>
      </c>
      <c r="E22" s="3"/>
      <c r="F22" s="3"/>
      <c r="G22" s="14"/>
      <c r="I22" s="5"/>
      <c r="M22" s="6"/>
    </row>
    <row r="23" spans="1:15" ht="27.6" x14ac:dyDescent="0.25">
      <c r="A23" s="30" t="s">
        <v>37</v>
      </c>
      <c r="B23" s="30"/>
      <c r="C23" s="2" t="s">
        <v>38</v>
      </c>
      <c r="D23" s="2">
        <v>4</v>
      </c>
      <c r="E23" s="3"/>
      <c r="F23" s="3"/>
      <c r="G23" s="14"/>
      <c r="I23" s="5"/>
      <c r="M23" s="6"/>
    </row>
    <row r="26" spans="1:15" x14ac:dyDescent="0.25">
      <c r="A26" s="23"/>
      <c r="B26" s="23"/>
    </row>
    <row r="27" spans="1:15" x14ac:dyDescent="0.25">
      <c r="A27" s="1" t="s">
        <v>109</v>
      </c>
      <c r="B27" s="5">
        <f>G4</f>
        <v>14725.489767168101</v>
      </c>
    </row>
    <row r="28" spans="1:15" x14ac:dyDescent="0.25">
      <c r="A28" s="1" t="s">
        <v>110</v>
      </c>
      <c r="B28" s="24">
        <f>F20</f>
        <v>2966.7763585908001</v>
      </c>
    </row>
    <row r="29" spans="1:15" x14ac:dyDescent="0.25">
      <c r="A29" s="1">
        <v>6</v>
      </c>
      <c r="B29" s="24">
        <f>G5+F21</f>
        <v>1366.2372360000002</v>
      </c>
    </row>
    <row r="30" spans="1:15" x14ac:dyDescent="0.25">
      <c r="A30" s="1">
        <v>15</v>
      </c>
      <c r="B30" s="24">
        <f>G7</f>
        <v>461.61014399999993</v>
      </c>
    </row>
    <row r="31" spans="1:15" x14ac:dyDescent="0.25">
      <c r="A31" s="1">
        <v>16</v>
      </c>
      <c r="B31" s="5">
        <f>G6</f>
        <v>18.229584000000003</v>
      </c>
    </row>
    <row r="32" spans="1:15" x14ac:dyDescent="0.25">
      <c r="A32" s="1">
        <v>50</v>
      </c>
      <c r="B32" s="5">
        <f>G8</f>
        <v>1070.60184</v>
      </c>
      <c r="C32" s="24"/>
    </row>
    <row r="33" spans="1:2" x14ac:dyDescent="0.25">
      <c r="A33" s="1" t="s">
        <v>107</v>
      </c>
      <c r="B33" s="6">
        <f>SUM(J4:J21)*0.7</f>
        <v>458.28699562634904</v>
      </c>
    </row>
    <row r="34" spans="1:2" x14ac:dyDescent="0.25">
      <c r="A34" s="1" t="s">
        <v>108</v>
      </c>
      <c r="B34" s="6">
        <f>SUM(J4:J21)*0.3</f>
        <v>196.40871241129247</v>
      </c>
    </row>
  </sheetData>
  <mergeCells count="20">
    <mergeCell ref="A10:B10"/>
    <mergeCell ref="A11:B11"/>
    <mergeCell ref="A12:B12"/>
    <mergeCell ref="A5:B5"/>
    <mergeCell ref="A23:B23"/>
    <mergeCell ref="A21:B21"/>
    <mergeCell ref="A22:B22"/>
    <mergeCell ref="I3:J3"/>
    <mergeCell ref="H4:H8"/>
    <mergeCell ref="G2:G3"/>
    <mergeCell ref="A6:B6"/>
    <mergeCell ref="A20:B20"/>
    <mergeCell ref="A19:B19"/>
    <mergeCell ref="G20:G21"/>
    <mergeCell ref="A2:F2"/>
    <mergeCell ref="A3:B3"/>
    <mergeCell ref="A4:B4"/>
    <mergeCell ref="A7:B7"/>
    <mergeCell ref="A8:B8"/>
    <mergeCell ref="A9:B9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CFB1-EF21-4A66-98FE-0A04AC66E6B6}">
  <dimension ref="A2:J17"/>
  <sheetViews>
    <sheetView workbookViewId="0">
      <selection activeCell="D12" sqref="D12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9" style="1"/>
    <col min="7" max="7" width="20.33203125" style="1" customWidth="1"/>
    <col min="8" max="8" width="10.33203125" style="1" customWidth="1"/>
    <col min="9" max="16384" width="9" style="1"/>
  </cols>
  <sheetData>
    <row r="2" spans="1:10" x14ac:dyDescent="0.25">
      <c r="J2" s="5"/>
    </row>
    <row r="3" spans="1:10" x14ac:dyDescent="0.25">
      <c r="J3" s="5"/>
    </row>
    <row r="11" spans="1:10" x14ac:dyDescent="0.25">
      <c r="A11" s="30" t="s">
        <v>40</v>
      </c>
      <c r="B11" s="4" t="s">
        <v>39</v>
      </c>
      <c r="C11" s="4" t="s">
        <v>41</v>
      </c>
      <c r="D11" s="16" t="s">
        <v>156</v>
      </c>
    </row>
    <row r="12" spans="1:10" x14ac:dyDescent="0.25">
      <c r="A12" s="30"/>
      <c r="B12" s="4" t="s">
        <v>42</v>
      </c>
      <c r="C12" s="4" t="s">
        <v>15</v>
      </c>
      <c r="D12" s="16" t="s">
        <v>43</v>
      </c>
    </row>
    <row r="13" spans="1:10" x14ac:dyDescent="0.25">
      <c r="A13" s="33" t="s">
        <v>51</v>
      </c>
      <c r="B13" s="4" t="s">
        <v>44</v>
      </c>
      <c r="C13" s="10" t="str">
        <f>CONCATENATE("□",580,"×",20)</f>
        <v>□580×20</v>
      </c>
      <c r="D13" s="8">
        <f>(6787.5/1000000)*40.6*7850</f>
        <v>2163.2441250000002</v>
      </c>
      <c r="E13" s="35">
        <f>D13+D14</f>
        <v>4568.7078500000007</v>
      </c>
    </row>
    <row r="14" spans="1:10" x14ac:dyDescent="0.25">
      <c r="A14" s="33"/>
      <c r="B14" s="4" t="s">
        <v>45</v>
      </c>
      <c r="C14" s="10" t="str">
        <f>CONCATENATE("□",618,"×",20)</f>
        <v>□618×20</v>
      </c>
      <c r="D14" s="8">
        <f>(7547.5/1000000)*40.6*7850</f>
        <v>2405.4637250000005</v>
      </c>
      <c r="E14" s="32"/>
    </row>
    <row r="15" spans="1:10" x14ac:dyDescent="0.25">
      <c r="A15" s="33"/>
      <c r="B15" s="4" t="s">
        <v>46</v>
      </c>
      <c r="C15" s="10" t="str">
        <f>CONCATENATE("□",138,"×",16,"×",144)</f>
        <v>□138×16×144</v>
      </c>
      <c r="D15" s="8">
        <f>162*15172/1000000*0.016*7850</f>
        <v>308.70771839999998</v>
      </c>
    </row>
    <row r="16" spans="1:10" x14ac:dyDescent="0.25">
      <c r="A16" s="33"/>
      <c r="B16" s="4" t="s">
        <v>48</v>
      </c>
      <c r="C16" s="4" t="s">
        <v>47</v>
      </c>
      <c r="D16" s="4">
        <v>162</v>
      </c>
    </row>
    <row r="17" spans="1:4" x14ac:dyDescent="0.25">
      <c r="A17" s="30" t="s">
        <v>49</v>
      </c>
      <c r="B17" s="30"/>
      <c r="C17" s="4" t="s">
        <v>50</v>
      </c>
      <c r="D17" s="4">
        <v>40.6</v>
      </c>
    </row>
  </sheetData>
  <mergeCells count="4">
    <mergeCell ref="A11:A12"/>
    <mergeCell ref="A13:A16"/>
    <mergeCell ref="A17:B17"/>
    <mergeCell ref="E13:E14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66AB-B5A2-4BD3-AA38-47C50934CC0D}">
  <dimension ref="A3:Y41"/>
  <sheetViews>
    <sheetView topLeftCell="A10" workbookViewId="0">
      <selection activeCell="B41" sqref="B41"/>
    </sheetView>
  </sheetViews>
  <sheetFormatPr defaultColWidth="9" defaultRowHeight="13.8" x14ac:dyDescent="0.25"/>
  <cols>
    <col min="1" max="1" width="9" style="1"/>
    <col min="2" max="2" width="21" style="1" customWidth="1"/>
    <col min="3" max="3" width="9" style="1"/>
    <col min="4" max="4" width="13.109375" style="1" customWidth="1"/>
    <col min="5" max="5" width="9" style="1"/>
    <col min="6" max="6" width="10.6640625" style="1" customWidth="1"/>
    <col min="7" max="16384" width="9" style="1"/>
  </cols>
  <sheetData>
    <row r="3" spans="1:25" ht="13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16</v>
      </c>
      <c r="H3" s="1" t="s">
        <v>7</v>
      </c>
      <c r="I3" s="1" t="s">
        <v>6</v>
      </c>
      <c r="J3" s="1" t="s">
        <v>5</v>
      </c>
      <c r="K3" s="1" t="s">
        <v>8</v>
      </c>
      <c r="L3" s="31" t="s">
        <v>11</v>
      </c>
      <c r="M3" s="31"/>
      <c r="N3" s="31"/>
    </row>
    <row r="4" spans="1:25" x14ac:dyDescent="0.25">
      <c r="A4" s="2" t="s">
        <v>13</v>
      </c>
      <c r="B4" s="2" t="str">
        <f>CONCATENATE("D",H4,"×",I4,"×",J4)</f>
        <v>D108×4×1200</v>
      </c>
      <c r="C4" s="2">
        <v>416</v>
      </c>
      <c r="D4" s="19">
        <f>2513.2741/1000000*1.2*7850</f>
        <v>23.675042022000003</v>
      </c>
      <c r="E4" s="3">
        <f t="shared" ref="E4:E9" si="0">C4*D4</f>
        <v>9848.8174811520021</v>
      </c>
      <c r="F4" s="36" t="s">
        <v>76</v>
      </c>
      <c r="H4" s="5">
        <v>108</v>
      </c>
      <c r="I4" s="1">
        <v>4</v>
      </c>
      <c r="J4" s="1">
        <v>1200</v>
      </c>
      <c r="K4" s="17"/>
      <c r="L4" s="18">
        <f>339.292/1000*1.2</f>
        <v>0.40715039999999997</v>
      </c>
      <c r="M4" s="17">
        <f>289.0265/1000*1.2</f>
        <v>0.34683180000000002</v>
      </c>
      <c r="N4" s="1">
        <f>(L4+M4)*C4</f>
        <v>313.65659520000003</v>
      </c>
    </row>
    <row r="5" spans="1:25" x14ac:dyDescent="0.25">
      <c r="A5" s="2" t="s">
        <v>52</v>
      </c>
      <c r="B5" s="2" t="str">
        <f t="shared" ref="B5:B9" si="1">CONCATENATE("□",H5,"×",I5,"×",J5)</f>
        <v>□10×4×1004</v>
      </c>
      <c r="C5" s="2">
        <f>(18*101+5*2+2)*4</f>
        <v>7320</v>
      </c>
      <c r="D5" s="20">
        <f t="shared" ref="D5:D6" si="2">IF(K5&gt;0,(K5*I5/1000000000*7850),(H5*I5*J5/1000000000*7850))</f>
        <v>0.31525600000000004</v>
      </c>
      <c r="E5" s="3">
        <f t="shared" si="0"/>
        <v>2307.6739200000002</v>
      </c>
      <c r="F5" s="36"/>
      <c r="H5" s="5">
        <v>10</v>
      </c>
      <c r="I5" s="1">
        <v>4</v>
      </c>
      <c r="J5" s="1">
        <v>1004</v>
      </c>
      <c r="L5" s="6">
        <f t="shared" ref="L5:L7" si="3">IF(K5&gt;0,(K5*2/1000000),(H5*J5*2/1000000))</f>
        <v>2.0080000000000001E-2</v>
      </c>
      <c r="N5" s="1">
        <f t="shared" ref="N5:N31" si="4">(L5+M5)*C5</f>
        <v>146.98560000000001</v>
      </c>
    </row>
    <row r="6" spans="1:25" x14ac:dyDescent="0.25">
      <c r="A6" s="2" t="s">
        <v>53</v>
      </c>
      <c r="B6" s="9" t="str">
        <f>CONCATENATE("□",H6,"×",I6,"×",J6,"(平均)")</f>
        <v>□10×4×1040(平均)</v>
      </c>
      <c r="C6" s="2">
        <f>2*C5</f>
        <v>14640</v>
      </c>
      <c r="D6" s="21">
        <f t="shared" si="2"/>
        <v>0.32656000000000002</v>
      </c>
      <c r="E6" s="3">
        <f t="shared" si="0"/>
        <v>4780.8384000000005</v>
      </c>
      <c r="F6" s="36"/>
      <c r="H6" s="5">
        <v>10</v>
      </c>
      <c r="I6" s="1">
        <v>4</v>
      </c>
      <c r="J6" s="1">
        <v>1040</v>
      </c>
      <c r="L6" s="6">
        <f t="shared" si="3"/>
        <v>2.0799999999999999E-2</v>
      </c>
      <c r="N6" s="1">
        <f t="shared" si="4"/>
        <v>304.512</v>
      </c>
    </row>
    <row r="7" spans="1:25" x14ac:dyDescent="0.25">
      <c r="A7" s="2" t="s">
        <v>75</v>
      </c>
      <c r="B7" s="9" t="str">
        <f>CONCATENATE("□",H7,"×",I7,"×",J7,"(平均)")</f>
        <v>□10×4×59(平均)</v>
      </c>
      <c r="C7" s="2">
        <f>C5*10</f>
        <v>73200</v>
      </c>
      <c r="D7" s="21">
        <f t="shared" ref="D7" si="5">IF(K7&gt;0,(K7*I7/1000000000*7850),(H7*I7*J7/1000000000*7850))</f>
        <v>1.8525999999999997E-2</v>
      </c>
      <c r="E7" s="3">
        <f t="shared" si="0"/>
        <v>1356.1031999999998</v>
      </c>
      <c r="F7" s="36"/>
      <c r="H7" s="5">
        <v>10</v>
      </c>
      <c r="I7" s="1">
        <v>4</v>
      </c>
      <c r="J7" s="1">
        <v>59</v>
      </c>
      <c r="L7" s="6">
        <f t="shared" si="3"/>
        <v>1.1800000000000001E-3</v>
      </c>
      <c r="N7" s="1">
        <f t="shared" si="4"/>
        <v>86.376000000000005</v>
      </c>
    </row>
    <row r="8" spans="1:25" x14ac:dyDescent="0.25">
      <c r="A8" s="4" t="s">
        <v>54</v>
      </c>
      <c r="B8" s="2" t="str">
        <f>CONCATENATE("D",H8,"×",I8,"×",J8)</f>
        <v>D108×4×7994</v>
      </c>
      <c r="C8" s="2">
        <v>50</v>
      </c>
      <c r="D8" s="19">
        <f>2513.2741/1000000*(J8/1000)*7850</f>
        <v>157.71523826989002</v>
      </c>
      <c r="E8" s="3">
        <f t="shared" si="0"/>
        <v>7885.7619134945007</v>
      </c>
      <c r="F8" s="36"/>
      <c r="H8" s="5">
        <v>108</v>
      </c>
      <c r="I8" s="1">
        <v>4</v>
      </c>
      <c r="J8" s="1">
        <f>8000-6</f>
        <v>7994</v>
      </c>
      <c r="L8" s="18">
        <f>339.292/1000*8</f>
        <v>2.7143359999999999</v>
      </c>
      <c r="M8" s="17">
        <f>289.0265/1000*(J8/1000)</f>
        <v>2.310477841</v>
      </c>
      <c r="N8" s="1">
        <f>(L8+M8)*C8</f>
        <v>251.24069205000001</v>
      </c>
    </row>
    <row r="9" spans="1:25" x14ac:dyDescent="0.25">
      <c r="A9" s="4" t="s">
        <v>56</v>
      </c>
      <c r="B9" s="2" t="str">
        <f t="shared" si="1"/>
        <v>□108×4×3922</v>
      </c>
      <c r="C9" s="2">
        <v>100</v>
      </c>
      <c r="D9" s="19">
        <f t="shared" ref="D9:D11" si="6">2513.2741/1000000*(J9/1000)*7850</f>
        <v>77.377929008570007</v>
      </c>
      <c r="E9" s="3">
        <f t="shared" si="0"/>
        <v>7737.7929008570009</v>
      </c>
      <c r="F9" s="36"/>
      <c r="H9" s="5">
        <v>108</v>
      </c>
      <c r="I9" s="1">
        <v>4</v>
      </c>
      <c r="J9" s="1">
        <f>8000/2-3-75</f>
        <v>3922</v>
      </c>
      <c r="L9" s="18">
        <f>339.292/1000*3.992</f>
        <v>1.354453664</v>
      </c>
      <c r="M9" s="17">
        <f t="shared" ref="M9:M11" si="7">289.0265/1000*(J9/1000)</f>
        <v>1.1335619330000002</v>
      </c>
      <c r="N9" s="1">
        <f t="shared" si="4"/>
        <v>248.80155970000004</v>
      </c>
    </row>
    <row r="10" spans="1:25" x14ac:dyDescent="0.25">
      <c r="A10" s="4" t="s">
        <v>58</v>
      </c>
      <c r="B10" s="2" t="str">
        <f t="shared" ref="B10" si="8">CONCATENATE("□",H10,"×",I10,"×",J10)</f>
        <v>□108×4×2007</v>
      </c>
      <c r="C10" s="2">
        <v>4</v>
      </c>
      <c r="D10" s="19">
        <f t="shared" si="6"/>
        <v>39.596507781795005</v>
      </c>
      <c r="E10" s="3">
        <f t="shared" ref="E10" si="9">C10*D10</f>
        <v>158.38603112718002</v>
      </c>
      <c r="F10" s="36"/>
      <c r="H10" s="5">
        <v>108</v>
      </c>
      <c r="I10" s="1">
        <v>4</v>
      </c>
      <c r="J10" s="1">
        <v>2007</v>
      </c>
      <c r="L10" s="18">
        <f>339.292/1000*1.987</f>
        <v>0.67417320400000003</v>
      </c>
      <c r="M10" s="17">
        <f t="shared" si="7"/>
        <v>0.58007618550000006</v>
      </c>
      <c r="N10" s="1">
        <f t="shared" si="4"/>
        <v>5.0169975579999999</v>
      </c>
      <c r="T10" s="31" t="s">
        <v>142</v>
      </c>
      <c r="U10" s="31"/>
      <c r="V10" s="1" t="s">
        <v>148</v>
      </c>
      <c r="W10" s="1" t="s">
        <v>149</v>
      </c>
      <c r="X10" s="1" t="s">
        <v>150</v>
      </c>
      <c r="Y10" s="1" t="s">
        <v>151</v>
      </c>
    </row>
    <row r="11" spans="1:25" x14ac:dyDescent="0.25">
      <c r="A11" s="4" t="s">
        <v>60</v>
      </c>
      <c r="B11" s="2" t="str">
        <f t="shared" ref="B11" si="10">CONCATENATE("□",H11,"×",I11,"×",J11)</f>
        <v>□108×4×2017</v>
      </c>
      <c r="C11" s="2">
        <v>4</v>
      </c>
      <c r="D11" s="19">
        <f t="shared" si="6"/>
        <v>39.793799798645004</v>
      </c>
      <c r="E11" s="3">
        <f t="shared" ref="E11" si="11">C11*D11</f>
        <v>159.17519919458002</v>
      </c>
      <c r="F11" s="36"/>
      <c r="H11" s="5">
        <v>108</v>
      </c>
      <c r="I11" s="1">
        <v>4</v>
      </c>
      <c r="J11" s="1">
        <v>2017</v>
      </c>
      <c r="L11" s="18">
        <f>339.292/1000*1.977</f>
        <v>0.670780284</v>
      </c>
      <c r="M11" s="17">
        <f t="shared" si="7"/>
        <v>0.58296645050000007</v>
      </c>
      <c r="N11" s="1">
        <f t="shared" si="4"/>
        <v>5.0149869379999998</v>
      </c>
      <c r="T11" s="1" t="s">
        <v>143</v>
      </c>
      <c r="U11" s="1" t="s">
        <v>144</v>
      </c>
      <c r="V11" s="1">
        <v>174.2</v>
      </c>
      <c r="W11" s="1">
        <v>174.2</v>
      </c>
      <c r="X11" s="1">
        <v>174.4</v>
      </c>
      <c r="Y11" s="1">
        <v>174.4</v>
      </c>
    </row>
    <row r="12" spans="1:25" x14ac:dyDescent="0.25">
      <c r="A12" s="4" t="s">
        <v>141</v>
      </c>
      <c r="B12" s="2" t="str">
        <f t="shared" ref="B12" si="12">CONCATENATE("□",H12,"×",I12,"×",J12)</f>
        <v>□96×4×96</v>
      </c>
      <c r="C12" s="2">
        <v>8</v>
      </c>
      <c r="D12" s="19">
        <f>1156.1061/1000000*(J12/1000)*7850</f>
        <v>0.87124155695999994</v>
      </c>
      <c r="E12" s="3">
        <f t="shared" ref="E12" si="13">C12*D12</f>
        <v>6.9699324556799995</v>
      </c>
      <c r="F12" s="36"/>
      <c r="H12" s="5">
        <v>96</v>
      </c>
      <c r="I12" s="1">
        <v>4</v>
      </c>
      <c r="J12" s="1">
        <v>96</v>
      </c>
      <c r="L12" s="18">
        <f>339.292/1000*1.977</f>
        <v>0.670780284</v>
      </c>
      <c r="M12" s="17">
        <f t="shared" ref="M12" si="14">289.0265/1000*(J12/1000)</f>
        <v>2.7746544000000001E-2</v>
      </c>
      <c r="N12" s="1">
        <f t="shared" ref="N12" si="15">(L12+M12)*C12</f>
        <v>5.5882146239999999</v>
      </c>
      <c r="T12" s="1" t="s">
        <v>145</v>
      </c>
      <c r="U12" s="1" t="s">
        <v>147</v>
      </c>
      <c r="V12" s="1">
        <f>6368-3-5</f>
        <v>6360</v>
      </c>
      <c r="W12" s="1">
        <f>1626-3-5</f>
        <v>1618</v>
      </c>
      <c r="X12" s="1">
        <f>5379-3-5</f>
        <v>5371</v>
      </c>
      <c r="Y12" s="1">
        <f>1759-3-5</f>
        <v>1751</v>
      </c>
    </row>
    <row r="13" spans="1:25" x14ac:dyDescent="0.25">
      <c r="A13" s="4" t="s">
        <v>55</v>
      </c>
      <c r="B13" s="2" t="str">
        <f>CONCATENATE("D",H13,"×",I13,"×",J13)</f>
        <v>D84×4×7994</v>
      </c>
      <c r="C13" s="2">
        <v>50</v>
      </c>
      <c r="D13" s="19">
        <f>1005.3096/1000000*(J13/1000)*7850</f>
        <v>63.086092797840003</v>
      </c>
      <c r="E13" s="3">
        <f t="shared" ref="E13" si="16">C13*D13</f>
        <v>3154.3046398920001</v>
      </c>
      <c r="F13" s="36"/>
      <c r="H13" s="5">
        <v>84</v>
      </c>
      <c r="I13" s="1">
        <v>4</v>
      </c>
      <c r="J13" s="1">
        <f>J8</f>
        <v>7994</v>
      </c>
      <c r="L13" s="18">
        <f>263.8938/1000*(J13/1000)</f>
        <v>2.1095670372000002</v>
      </c>
      <c r="M13" s="17">
        <f>238.761/1000*(J13/1000)</f>
        <v>1.9086554339999999</v>
      </c>
      <c r="N13" s="1">
        <f t="shared" si="4"/>
        <v>200.91112355999999</v>
      </c>
      <c r="T13" s="1" t="s">
        <v>146</v>
      </c>
      <c r="U13" s="1" t="s">
        <v>147</v>
      </c>
      <c r="V13" s="1">
        <f>(8000-6-10)-V12</f>
        <v>1624</v>
      </c>
      <c r="W13" s="1">
        <f t="shared" ref="W13:Y13" si="17">(8000-6-10)-W12</f>
        <v>6366</v>
      </c>
      <c r="X13" s="1">
        <f t="shared" si="17"/>
        <v>2613</v>
      </c>
      <c r="Y13" s="1">
        <f t="shared" si="17"/>
        <v>6233</v>
      </c>
    </row>
    <row r="14" spans="1:25" x14ac:dyDescent="0.25">
      <c r="A14" s="4" t="s">
        <v>57</v>
      </c>
      <c r="B14" s="2" t="str">
        <f>CONCATENATE("D",H14,"×",I14,"×",J14)</f>
        <v>D84×4×3922</v>
      </c>
      <c r="C14" s="2">
        <v>100</v>
      </c>
      <c r="D14" s="19">
        <f t="shared" ref="D14:D16" si="18">1005.3096/1000000*(J14/1000)*7850</f>
        <v>30.95117037192</v>
      </c>
      <c r="E14" s="3">
        <f t="shared" ref="E14" si="19">C14*D14</f>
        <v>3095.1170371919998</v>
      </c>
      <c r="F14" s="36"/>
      <c r="H14" s="5">
        <v>84</v>
      </c>
      <c r="I14" s="1">
        <v>4</v>
      </c>
      <c r="J14" s="1">
        <f>J9</f>
        <v>3922</v>
      </c>
      <c r="L14" s="18">
        <f t="shared" ref="L14:L16" si="20">263.8938/1000*(J14/1000)</f>
        <v>1.0349914836</v>
      </c>
      <c r="M14" s="17">
        <f t="shared" ref="M14:M16" si="21">238.761/1000*(J14/1000)</f>
        <v>0.93642064200000008</v>
      </c>
      <c r="N14" s="1">
        <f t="shared" si="4"/>
        <v>197.14121256000001</v>
      </c>
    </row>
    <row r="15" spans="1:25" x14ac:dyDescent="0.25">
      <c r="A15" s="4" t="s">
        <v>59</v>
      </c>
      <c r="B15" s="2" t="str">
        <f>CONCATENATE("D",H15,"×",I15,"×",J15)</f>
        <v>D84×4×2007</v>
      </c>
      <c r="C15" s="2">
        <v>4</v>
      </c>
      <c r="D15" s="19">
        <f t="shared" si="18"/>
        <v>15.838602482520001</v>
      </c>
      <c r="E15" s="3">
        <f t="shared" ref="E15" si="22">C15*D15</f>
        <v>63.354409930080003</v>
      </c>
      <c r="F15" s="36"/>
      <c r="H15" s="5">
        <v>84</v>
      </c>
      <c r="I15" s="1">
        <v>4</v>
      </c>
      <c r="J15" s="1">
        <f>J10</f>
        <v>2007</v>
      </c>
      <c r="L15" s="18">
        <f t="shared" si="20"/>
        <v>0.52963485660000009</v>
      </c>
      <c r="M15" s="17">
        <f t="shared" si="21"/>
        <v>0.47919332700000006</v>
      </c>
      <c r="N15" s="1">
        <f t="shared" si="4"/>
        <v>4.0353127344000006</v>
      </c>
    </row>
    <row r="16" spans="1:25" x14ac:dyDescent="0.25">
      <c r="A16" s="4" t="s">
        <v>61</v>
      </c>
      <c r="B16" s="2" t="str">
        <f>CONCATENATE("D",H16,"×",I16,"×",J16)</f>
        <v>D84×4×2017</v>
      </c>
      <c r="C16" s="2">
        <v>4</v>
      </c>
      <c r="D16" s="19">
        <f t="shared" si="18"/>
        <v>15.917519286119999</v>
      </c>
      <c r="E16" s="3">
        <f t="shared" ref="E16:E18" si="23">C16*D16</f>
        <v>63.670077144479997</v>
      </c>
      <c r="F16" s="36"/>
      <c r="H16" s="5">
        <v>84</v>
      </c>
      <c r="I16" s="1">
        <v>4</v>
      </c>
      <c r="J16" s="1">
        <f>J11</f>
        <v>2017</v>
      </c>
      <c r="L16" s="18">
        <f t="shared" si="20"/>
        <v>0.53227379460000002</v>
      </c>
      <c r="M16" s="17">
        <f t="shared" si="21"/>
        <v>0.48158093699999999</v>
      </c>
      <c r="N16" s="1">
        <f t="shared" si="4"/>
        <v>4.0554189263999998</v>
      </c>
    </row>
    <row r="17" spans="1:14" x14ac:dyDescent="0.25">
      <c r="A17" s="4" t="s">
        <v>152</v>
      </c>
      <c r="B17" s="2" t="str">
        <f>CONCATENATE("D",H17,"×",I17,"×",J17)</f>
        <v>D72×4×72</v>
      </c>
      <c r="C17" s="2">
        <v>8</v>
      </c>
      <c r="D17" s="19">
        <f>854.5132/1000000*(J17/1000)*7850</f>
        <v>0.48297086063999994</v>
      </c>
      <c r="E17" s="3">
        <f t="shared" ref="E17" si="24">C17*D17</f>
        <v>3.8637668851199996</v>
      </c>
      <c r="F17" s="36"/>
      <c r="H17" s="5">
        <v>72</v>
      </c>
      <c r="I17" s="1">
        <v>4</v>
      </c>
      <c r="J17" s="1">
        <v>72</v>
      </c>
      <c r="L17" s="18">
        <f t="shared" ref="L17" si="25">263.8938/1000*(J17/1000)</f>
        <v>1.9000353599999999E-2</v>
      </c>
      <c r="M17" s="17">
        <f t="shared" ref="M17" si="26">238.761/1000*(J17/1000)</f>
        <v>1.7190792E-2</v>
      </c>
      <c r="N17" s="1">
        <f t="shared" ref="N17" si="27">(L17+M17)*C17</f>
        <v>0.28952916480000002</v>
      </c>
    </row>
    <row r="18" spans="1:14" x14ac:dyDescent="0.25">
      <c r="A18" s="4" t="s">
        <v>62</v>
      </c>
      <c r="B18" s="2" t="str">
        <f t="shared" ref="B18" si="28">CONCATENATE("□",H18,"×",I18,"×",J18)</f>
        <v>□100×4×100</v>
      </c>
      <c r="C18" s="2">
        <f>SUM(C8:C11)</f>
        <v>158</v>
      </c>
      <c r="D18" s="19">
        <f>7853.9816/1000000*0.004*7850</f>
        <v>0.24661502224000001</v>
      </c>
      <c r="E18" s="3">
        <f t="shared" si="23"/>
        <v>38.96517351392</v>
      </c>
      <c r="F18" s="36"/>
      <c r="H18" s="5">
        <v>100</v>
      </c>
      <c r="I18" s="1">
        <v>4</v>
      </c>
      <c r="J18" s="1">
        <v>100</v>
      </c>
      <c r="L18" s="18">
        <f>7853.9816/1000000</f>
        <v>7.8539816000000005E-3</v>
      </c>
      <c r="M18" s="18">
        <f>7853.9816/1000000</f>
        <v>7.8539816000000005E-3</v>
      </c>
      <c r="N18" s="1">
        <f t="shared" si="4"/>
        <v>2.4818581856000002</v>
      </c>
    </row>
    <row r="19" spans="1:14" x14ac:dyDescent="0.25">
      <c r="A19" s="4" t="s">
        <v>63</v>
      </c>
      <c r="B19" s="2" t="str">
        <f t="shared" ref="B19" si="29">CONCATENATE("□",H19,"×",I19,"×",J19)</f>
        <v>□76×4×76</v>
      </c>
      <c r="C19" s="2">
        <f>SUM(C13:C16)</f>
        <v>158</v>
      </c>
      <c r="D19" s="19">
        <f>4536.4598/1000000*0.004*7850</f>
        <v>0.14244483772000002</v>
      </c>
      <c r="E19" s="3">
        <f t="shared" ref="E19" si="30">C19*D19</f>
        <v>22.506284359760002</v>
      </c>
      <c r="F19" s="36"/>
      <c r="H19" s="5">
        <v>76</v>
      </c>
      <c r="I19" s="1">
        <v>4</v>
      </c>
      <c r="J19" s="1">
        <v>76</v>
      </c>
      <c r="L19" s="18">
        <f>4536.4598/1000000</f>
        <v>4.5364597999999999E-3</v>
      </c>
      <c r="M19" s="18">
        <f>4536.4598/1000000</f>
        <v>4.5364597999999999E-3</v>
      </c>
      <c r="N19" s="1">
        <f t="shared" si="4"/>
        <v>1.4335212968</v>
      </c>
    </row>
    <row r="20" spans="1:14" x14ac:dyDescent="0.25">
      <c r="A20" s="4" t="s">
        <v>64</v>
      </c>
      <c r="B20" s="2" t="str">
        <f t="shared" ref="B20" si="31">CONCATENATE("□",H20,"×",I20,"×",J20)</f>
        <v>□765×10×8000</v>
      </c>
      <c r="C20" s="2">
        <v>50</v>
      </c>
      <c r="D20" s="19">
        <f>7488.6083/1000000*(J20/1000)*7850</f>
        <v>470.28460123999997</v>
      </c>
      <c r="E20" s="3">
        <f t="shared" ref="E20" si="32">C20*D20</f>
        <v>23514.230061999999</v>
      </c>
      <c r="F20" s="36"/>
      <c r="H20" s="5">
        <v>765</v>
      </c>
      <c r="I20" s="1">
        <v>10</v>
      </c>
      <c r="J20" s="1">
        <v>8000</v>
      </c>
      <c r="L20" s="18">
        <f>H20*J20/1000000</f>
        <v>6.12</v>
      </c>
      <c r="M20" s="18">
        <f>723*J20/1000000</f>
        <v>5.7839999999999998</v>
      </c>
      <c r="N20" s="1">
        <f t="shared" si="4"/>
        <v>595.20000000000005</v>
      </c>
    </row>
    <row r="21" spans="1:14" x14ac:dyDescent="0.25">
      <c r="A21" s="4" t="s">
        <v>66</v>
      </c>
      <c r="B21" s="2" t="str">
        <f t="shared" ref="B21:B22" si="33">CONCATENATE("□",H21,"×",I21,"×",J21)</f>
        <v>□765×10×2010</v>
      </c>
      <c r="C21" s="2">
        <v>2</v>
      </c>
      <c r="D21" s="19">
        <f t="shared" ref="D21:D22" si="34">7488.6083/1000000*(J21/1000)*7850</f>
        <v>118.15900606154999</v>
      </c>
      <c r="E21" s="3">
        <f t="shared" ref="E21:E22" si="35">C21*D21</f>
        <v>236.31801212309998</v>
      </c>
      <c r="F21" s="36"/>
      <c r="H21" s="5">
        <v>765</v>
      </c>
      <c r="I21" s="1">
        <v>10</v>
      </c>
      <c r="J21" s="1">
        <f>2130-120</f>
        <v>2010</v>
      </c>
      <c r="L21" s="18">
        <f t="shared" ref="L21:L22" si="36">H21*J21/1000000</f>
        <v>1.53765</v>
      </c>
      <c r="M21" s="18">
        <f t="shared" ref="M21:M22" si="37">723*J21/1000000</f>
        <v>1.45323</v>
      </c>
      <c r="N21" s="1">
        <f t="shared" si="4"/>
        <v>5.9817599999999995</v>
      </c>
    </row>
    <row r="22" spans="1:14" x14ac:dyDescent="0.25">
      <c r="A22" s="4" t="s">
        <v>67</v>
      </c>
      <c r="B22" s="2" t="str">
        <f t="shared" si="33"/>
        <v>□765×10×2020</v>
      </c>
      <c r="C22" s="2">
        <v>2</v>
      </c>
      <c r="D22" s="19">
        <f t="shared" si="34"/>
        <v>118.7468618131</v>
      </c>
      <c r="E22" s="3">
        <f t="shared" si="35"/>
        <v>237.49372362619999</v>
      </c>
      <c r="F22" s="36"/>
      <c r="H22" s="5">
        <v>765</v>
      </c>
      <c r="I22" s="1">
        <v>10</v>
      </c>
      <c r="J22" s="1">
        <f>2140-120</f>
        <v>2020</v>
      </c>
      <c r="L22" s="18">
        <f t="shared" si="36"/>
        <v>1.5452999999999999</v>
      </c>
      <c r="M22" s="18">
        <f t="shared" si="37"/>
        <v>1.4604600000000001</v>
      </c>
      <c r="N22" s="1">
        <f t="shared" si="4"/>
        <v>6.01152</v>
      </c>
    </row>
    <row r="23" spans="1:14" x14ac:dyDescent="0.25">
      <c r="A23" s="4" t="s">
        <v>71</v>
      </c>
      <c r="B23" s="2" t="str">
        <f t="shared" ref="B23" si="38">CONCATENATE("□",H23,"×",I23,"×",J23)</f>
        <v>□466×10×192</v>
      </c>
      <c r="C23" s="2">
        <f>5+13+1+65+14+5+1+2</f>
        <v>106</v>
      </c>
      <c r="D23" s="20">
        <f>IF(K23&gt;0,(K23*I23/1000000000*7850),(H23*I23*J23/1000000000*7850))</f>
        <v>5.0245402919500011</v>
      </c>
      <c r="E23" s="3">
        <f t="shared" ref="E23" si="39">C23*D23</f>
        <v>532.60127094670008</v>
      </c>
      <c r="F23" s="36"/>
      <c r="H23" s="5">
        <v>466</v>
      </c>
      <c r="I23" s="1">
        <v>10</v>
      </c>
      <c r="J23" s="1">
        <v>192</v>
      </c>
      <c r="K23" s="1">
        <v>64006.882700000002</v>
      </c>
      <c r="L23" s="6">
        <f t="shared" ref="L23:L31" si="40">IF(K23&gt;0,(K23*2/1000000),(H23*J23*2/1000000))</f>
        <v>0.12801376540000001</v>
      </c>
      <c r="M23" s="18"/>
      <c r="N23" s="1">
        <f t="shared" si="4"/>
        <v>13.5694591324</v>
      </c>
    </row>
    <row r="24" spans="1:14" x14ac:dyDescent="0.25">
      <c r="A24" s="4" t="s">
        <v>65</v>
      </c>
      <c r="B24" s="2" t="str">
        <f t="shared" ref="B24" si="41">CONCATENATE("□",H24,"×",I24,"×",J24)</f>
        <v>□528×10×8000</v>
      </c>
      <c r="C24" s="2">
        <v>50</v>
      </c>
      <c r="D24" s="19">
        <f>5128.3187/1000000*(J24/1000)*7850</f>
        <v>322.05841435999997</v>
      </c>
      <c r="E24" s="3">
        <f t="shared" ref="E24" si="42">C24*D24</f>
        <v>16102.920717999999</v>
      </c>
      <c r="F24" s="36"/>
      <c r="H24" s="5">
        <v>528</v>
      </c>
      <c r="I24" s="1">
        <v>10</v>
      </c>
      <c r="J24" s="1">
        <v>8000</v>
      </c>
      <c r="L24" s="18">
        <f>H24*J24/1000000</f>
        <v>4.2240000000000002</v>
      </c>
      <c r="M24" s="18">
        <f>497*J24/1000000</f>
        <v>3.976</v>
      </c>
      <c r="N24" s="1">
        <f t="shared" si="4"/>
        <v>409.99999999999994</v>
      </c>
    </row>
    <row r="25" spans="1:14" x14ac:dyDescent="0.25">
      <c r="A25" s="4" t="s">
        <v>69</v>
      </c>
      <c r="B25" s="2" t="str">
        <f t="shared" ref="B25" si="43">CONCATENATE("□",H25,"×",I25,"×",J25)</f>
        <v>□528×10×2010</v>
      </c>
      <c r="C25" s="2">
        <v>2</v>
      </c>
      <c r="D25" s="19">
        <f>5128.3187/1000000*(J25/1000)*7850</f>
        <v>80.917176607949997</v>
      </c>
      <c r="E25" s="3">
        <f t="shared" ref="E25" si="44">C25*D25</f>
        <v>161.83435321589999</v>
      </c>
      <c r="F25" s="36"/>
      <c r="H25" s="5">
        <v>528</v>
      </c>
      <c r="I25" s="1">
        <v>10</v>
      </c>
      <c r="J25" s="1">
        <f>2130-120</f>
        <v>2010</v>
      </c>
      <c r="L25" s="6">
        <f t="shared" si="40"/>
        <v>2.12256</v>
      </c>
      <c r="M25" s="18"/>
      <c r="N25" s="1">
        <f t="shared" si="4"/>
        <v>4.24512</v>
      </c>
    </row>
    <row r="26" spans="1:14" x14ac:dyDescent="0.25">
      <c r="A26" s="4" t="s">
        <v>70</v>
      </c>
      <c r="B26" s="2" t="str">
        <f t="shared" ref="B26:B28" si="45">CONCATENATE("□",H26,"×",I26,"×",J26)</f>
        <v>□528×10×2020</v>
      </c>
      <c r="C26" s="2">
        <v>2</v>
      </c>
      <c r="D26" s="19">
        <f>5128.3187/1000000*(J26/1000)*7850</f>
        <v>81.319749625899988</v>
      </c>
      <c r="E26" s="3">
        <f t="shared" ref="E26:E28" si="46">C26*D26</f>
        <v>162.63949925179998</v>
      </c>
      <c r="F26" s="36"/>
      <c r="H26" s="5">
        <v>528</v>
      </c>
      <c r="I26" s="1">
        <v>10</v>
      </c>
      <c r="J26" s="1">
        <f>2140-120</f>
        <v>2020</v>
      </c>
      <c r="L26" s="6">
        <f t="shared" si="40"/>
        <v>2.1331199999999999</v>
      </c>
      <c r="M26" s="17"/>
      <c r="N26" s="1">
        <f t="shared" si="4"/>
        <v>4.2662399999999998</v>
      </c>
    </row>
    <row r="27" spans="1:14" x14ac:dyDescent="0.25">
      <c r="A27" s="4" t="s">
        <v>68</v>
      </c>
      <c r="B27" s="2" t="str">
        <f t="shared" si="45"/>
        <v>□140×10×230</v>
      </c>
      <c r="C27" s="2">
        <f>5+13+1+65+14+5+1+2</f>
        <v>106</v>
      </c>
      <c r="D27" s="20">
        <f>IF(K27&gt;0,(K27*I27/1000000000*7850),(H27*I27*J27/1000000000*7850))</f>
        <v>1.9035818014499999</v>
      </c>
      <c r="E27" s="3">
        <f t="shared" si="46"/>
        <v>201.77967095369999</v>
      </c>
      <c r="F27" s="36"/>
      <c r="H27" s="5">
        <v>140</v>
      </c>
      <c r="I27" s="1">
        <v>10</v>
      </c>
      <c r="J27" s="1">
        <v>230</v>
      </c>
      <c r="K27" s="1">
        <v>24249.449700000001</v>
      </c>
      <c r="L27" s="6">
        <f t="shared" si="40"/>
        <v>4.8498899400000003E-2</v>
      </c>
      <c r="M27" s="17"/>
      <c r="N27" s="1">
        <f t="shared" si="4"/>
        <v>5.1408833363999999</v>
      </c>
    </row>
    <row r="28" spans="1:14" x14ac:dyDescent="0.25">
      <c r="A28" s="4" t="s">
        <v>72</v>
      </c>
      <c r="B28" s="2" t="str">
        <f t="shared" si="45"/>
        <v>□340×10×8000</v>
      </c>
      <c r="C28" s="2">
        <f>C24</f>
        <v>50</v>
      </c>
      <c r="D28" s="19">
        <f>3216.2071/1000000*(J28/1000)*7850</f>
        <v>201.97780588000001</v>
      </c>
      <c r="E28" s="3">
        <f t="shared" si="46"/>
        <v>10098.890294000001</v>
      </c>
      <c r="F28" s="36"/>
      <c r="H28" s="5">
        <v>340</v>
      </c>
      <c r="I28" s="1">
        <v>10</v>
      </c>
      <c r="J28" s="1">
        <f>J24</f>
        <v>8000</v>
      </c>
      <c r="L28" s="6">
        <f t="shared" si="40"/>
        <v>5.44</v>
      </c>
      <c r="M28" s="17"/>
      <c r="N28" s="1">
        <f t="shared" si="4"/>
        <v>272</v>
      </c>
    </row>
    <row r="29" spans="1:14" x14ac:dyDescent="0.25">
      <c r="A29" s="4" t="s">
        <v>73</v>
      </c>
      <c r="B29" s="2" t="str">
        <f t="shared" ref="B29" si="47">CONCATENATE("□",H29,"×",I29,"×",J29)</f>
        <v>□340×10×2010</v>
      </c>
      <c r="C29" s="2">
        <f>C25</f>
        <v>2</v>
      </c>
      <c r="D29" s="19">
        <f>3216.2071/1000000*(J29/1000)*7850</f>
        <v>50.746923727349994</v>
      </c>
      <c r="E29" s="3">
        <f t="shared" ref="E29" si="48">C29*D29</f>
        <v>101.49384745469999</v>
      </c>
      <c r="F29" s="36"/>
      <c r="H29" s="5">
        <v>340</v>
      </c>
      <c r="I29" s="1">
        <v>10</v>
      </c>
      <c r="J29" s="1">
        <f>J25</f>
        <v>2010</v>
      </c>
      <c r="L29" s="6">
        <f t="shared" si="40"/>
        <v>1.3668</v>
      </c>
      <c r="M29" s="17"/>
      <c r="N29" s="1">
        <f t="shared" si="4"/>
        <v>2.7336</v>
      </c>
    </row>
    <row r="30" spans="1:14" x14ac:dyDescent="0.25">
      <c r="A30" s="4" t="s">
        <v>73</v>
      </c>
      <c r="B30" s="2" t="str">
        <f t="shared" ref="B30" si="49">CONCATENATE("□",H30,"×",I30,"×",J30)</f>
        <v>□340×10×2020</v>
      </c>
      <c r="C30" s="2">
        <f>C26</f>
        <v>2</v>
      </c>
      <c r="D30" s="19">
        <f>3216.2071/1000000*(J30/1000)*7850</f>
        <v>50.999395984700001</v>
      </c>
      <c r="E30" s="3">
        <f t="shared" ref="E30:E31" si="50">C30*D30</f>
        <v>101.9987919694</v>
      </c>
      <c r="F30" s="36"/>
      <c r="H30" s="5">
        <v>340</v>
      </c>
      <c r="I30" s="1">
        <v>10</v>
      </c>
      <c r="J30" s="1">
        <f>J26</f>
        <v>2020</v>
      </c>
      <c r="L30" s="6">
        <f t="shared" si="40"/>
        <v>1.3735999999999999</v>
      </c>
      <c r="M30" s="17"/>
      <c r="N30" s="1">
        <f t="shared" si="4"/>
        <v>2.7471999999999999</v>
      </c>
    </row>
    <row r="31" spans="1:14" x14ac:dyDescent="0.25">
      <c r="A31" s="4" t="s">
        <v>74</v>
      </c>
      <c r="B31" s="2" t="str">
        <f>CONCATENATE("D",H31,"×",I31,"×",J31)</f>
        <v>D50×4×250</v>
      </c>
      <c r="C31" s="2">
        <f>203/0.5*2</f>
        <v>812</v>
      </c>
      <c r="D31" s="19">
        <f>578.053*250/1000000000*7850</f>
        <v>1.1344290125000001</v>
      </c>
      <c r="E31" s="3">
        <f t="shared" si="50"/>
        <v>921.15635815000007</v>
      </c>
      <c r="F31" s="36"/>
      <c r="H31" s="5">
        <v>50</v>
      </c>
      <c r="I31" s="1">
        <v>4</v>
      </c>
      <c r="J31" s="1">
        <v>250</v>
      </c>
      <c r="L31" s="6">
        <f t="shared" si="40"/>
        <v>2.5000000000000001E-2</v>
      </c>
      <c r="M31" s="17"/>
      <c r="N31" s="1">
        <f t="shared" si="4"/>
        <v>20.3</v>
      </c>
    </row>
    <row r="32" spans="1:14" x14ac:dyDescent="0.25">
      <c r="A32" s="30" t="s">
        <v>9</v>
      </c>
      <c r="B32" s="30"/>
      <c r="C32" s="30"/>
      <c r="D32" s="30"/>
      <c r="E32" s="7">
        <f>SUM(E4:E31)</f>
        <v>93056.656968889802</v>
      </c>
      <c r="F32" s="36"/>
    </row>
    <row r="33" spans="1:6" x14ac:dyDescent="0.25">
      <c r="A33" s="30" t="s">
        <v>12</v>
      </c>
      <c r="B33" s="30"/>
      <c r="C33" s="30"/>
      <c r="D33" s="30"/>
      <c r="E33" s="8">
        <f>E32*0.015</f>
        <v>1395.8498545333471</v>
      </c>
      <c r="F33" s="36"/>
    </row>
    <row r="34" spans="1:6" x14ac:dyDescent="0.25">
      <c r="A34" s="30" t="s">
        <v>10</v>
      </c>
      <c r="B34" s="30"/>
      <c r="C34" s="30"/>
      <c r="D34" s="30"/>
      <c r="E34" s="7">
        <f>E32+E33</f>
        <v>94452.506823423144</v>
      </c>
      <c r="F34" s="36"/>
    </row>
    <row r="35" spans="1:6" x14ac:dyDescent="0.25">
      <c r="A35" s="30" t="s">
        <v>153</v>
      </c>
      <c r="B35" s="30"/>
      <c r="C35" s="30"/>
      <c r="D35" s="30"/>
      <c r="E35" s="4">
        <v>32</v>
      </c>
      <c r="F35" s="4"/>
    </row>
    <row r="38" spans="1:6" x14ac:dyDescent="0.25">
      <c r="A38" s="1">
        <v>4</v>
      </c>
      <c r="B38" s="6">
        <f>SUMIF($I$4:$I$31,A38,$E$4:$E$31)</f>
        <v>41604.456725348304</v>
      </c>
    </row>
    <row r="39" spans="1:6" x14ac:dyDescent="0.25">
      <c r="A39" s="1">
        <v>10</v>
      </c>
      <c r="B39" s="6">
        <f t="shared" ref="B39" si="51">SUMIF($I$4:$I$31,A39,$E$4:$E$31)</f>
        <v>51452.200243541505</v>
      </c>
    </row>
    <row r="40" spans="1:6" x14ac:dyDescent="0.25">
      <c r="A40" s="1" t="s">
        <v>107</v>
      </c>
      <c r="B40" s="1">
        <f>SUM(N4:N31)*0.7</f>
        <v>2183.8154834767602</v>
      </c>
    </row>
    <row r="41" spans="1:6" x14ac:dyDescent="0.25">
      <c r="A41" s="1" t="s">
        <v>108</v>
      </c>
      <c r="B41" s="1">
        <f>SUM(N4:N31)*0.3</f>
        <v>935.92092149004009</v>
      </c>
    </row>
  </sheetData>
  <mergeCells count="7">
    <mergeCell ref="L3:N3"/>
    <mergeCell ref="T10:U10"/>
    <mergeCell ref="A35:D35"/>
    <mergeCell ref="A32:D32"/>
    <mergeCell ref="A33:D33"/>
    <mergeCell ref="A34:D34"/>
    <mergeCell ref="F4:F34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2B6D-7CAD-41CA-AC3E-42EA62E5D3DF}">
  <dimension ref="A1:N15"/>
  <sheetViews>
    <sheetView workbookViewId="0">
      <selection activeCell="A4" sqref="A4:G12"/>
    </sheetView>
  </sheetViews>
  <sheetFormatPr defaultColWidth="9" defaultRowHeight="13.8" x14ac:dyDescent="0.25"/>
  <cols>
    <col min="1" max="1" width="9" style="1"/>
    <col min="2" max="2" width="21" style="1" customWidth="1"/>
    <col min="3" max="3" width="9" style="1"/>
    <col min="4" max="4" width="13.109375" style="1" customWidth="1"/>
    <col min="5" max="6" width="9" style="1"/>
    <col min="7" max="7" width="10.33203125" style="1" customWidth="1"/>
    <col min="8" max="16384" width="9" style="1"/>
  </cols>
  <sheetData>
    <row r="1" spans="1:14" x14ac:dyDescent="0.25">
      <c r="A1" s="1">
        <v>10</v>
      </c>
      <c r="B1" s="24">
        <f>E7+E10</f>
        <v>552.74441010250007</v>
      </c>
    </row>
    <row r="2" spans="1:14" x14ac:dyDescent="0.25">
      <c r="A2" s="1">
        <v>28</v>
      </c>
      <c r="B2" s="24">
        <f>E5+E6</f>
        <v>1171.5340000000001</v>
      </c>
    </row>
    <row r="3" spans="1:14" x14ac:dyDescent="0.25">
      <c r="A3" s="1">
        <v>40</v>
      </c>
      <c r="B3" s="24">
        <f>E8+E9</f>
        <v>408.19999999999993</v>
      </c>
    </row>
    <row r="4" spans="1:14" ht="13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3" t="s">
        <v>4</v>
      </c>
      <c r="F4" s="33"/>
      <c r="G4" s="4" t="s">
        <v>16</v>
      </c>
      <c r="I4" s="1" t="s">
        <v>7</v>
      </c>
      <c r="J4" s="1" t="s">
        <v>6</v>
      </c>
      <c r="K4" s="1" t="s">
        <v>5</v>
      </c>
      <c r="L4" s="1" t="s">
        <v>8</v>
      </c>
      <c r="M4" s="31" t="s">
        <v>11</v>
      </c>
      <c r="N4" s="31"/>
    </row>
    <row r="5" spans="1:14" x14ac:dyDescent="0.25">
      <c r="A5" s="2" t="s">
        <v>65</v>
      </c>
      <c r="B5" s="2" t="str">
        <f>CONCATENATE("□",I5,"×",J5,"×",K5)</f>
        <v>□250×28×250</v>
      </c>
      <c r="C5" s="2">
        <v>50</v>
      </c>
      <c r="D5" s="3">
        <f>IF(L5&gt;0,(L5*J5/1000000000*7850),(I5*J5*K5/1000000000*7850))</f>
        <v>13.737500000000001</v>
      </c>
      <c r="E5" s="3">
        <f t="shared" ref="E5" si="0">C5*D5</f>
        <v>686.875</v>
      </c>
      <c r="F5" s="37">
        <f>SUM(E5:E10)</f>
        <v>2132.4784101025002</v>
      </c>
      <c r="G5" s="40" t="s">
        <v>76</v>
      </c>
      <c r="I5" s="5">
        <v>250</v>
      </c>
      <c r="J5" s="1">
        <v>28</v>
      </c>
      <c r="K5" s="1">
        <v>250</v>
      </c>
      <c r="M5" s="6">
        <f>IF(L5&gt;0,(L5*2/1000000),(I5*K5*2/1000000))</f>
        <v>0.125</v>
      </c>
      <c r="N5" s="1">
        <f>M5*C5</f>
        <v>6.25</v>
      </c>
    </row>
    <row r="6" spans="1:14" x14ac:dyDescent="0.25">
      <c r="A6" s="2" t="s">
        <v>69</v>
      </c>
      <c r="B6" s="2" t="str">
        <f>CONCATENATE("□",I6,"×",J6,"×",K6)</f>
        <v>□210×28×210</v>
      </c>
      <c r="C6" s="2">
        <v>50</v>
      </c>
      <c r="D6" s="3">
        <f>IF(L6&gt;0,(L6*J6/1000000000*7850),(I6*J6*K6/1000000000*7850))</f>
        <v>9.6931799999999999</v>
      </c>
      <c r="E6" s="3">
        <f t="shared" ref="E6:E7" si="1">C6*D6</f>
        <v>484.65899999999999</v>
      </c>
      <c r="F6" s="38"/>
      <c r="G6" s="41"/>
      <c r="I6" s="5">
        <v>210</v>
      </c>
      <c r="J6" s="1">
        <v>28</v>
      </c>
      <c r="K6" s="1">
        <v>210</v>
      </c>
      <c r="M6" s="6">
        <f>IF(L6&gt;0,(L6*2/1000000),(I6*K6*2/1000000))</f>
        <v>8.8200000000000001E-2</v>
      </c>
      <c r="N6" s="1">
        <f>M6*C6</f>
        <v>4.41</v>
      </c>
    </row>
    <row r="7" spans="1:14" x14ac:dyDescent="0.25">
      <c r="A7" s="2" t="s">
        <v>70</v>
      </c>
      <c r="B7" s="2" t="str">
        <f t="shared" ref="B7" si="2">CONCATENATE("□",I7,"×",J7,"×",K7)</f>
        <v>□192×10×466</v>
      </c>
      <c r="C7" s="2">
        <f>C5*2</f>
        <v>100</v>
      </c>
      <c r="D7" s="3">
        <f t="shared" ref="D7" si="3">IF(L7&gt;0,(L7*J7/1000000000*7850),(I7*J7*K7/1000000000*7850))</f>
        <v>5.0245402919500011</v>
      </c>
      <c r="E7" s="3">
        <f t="shared" si="1"/>
        <v>502.45402919500009</v>
      </c>
      <c r="F7" s="38"/>
      <c r="G7" s="41"/>
      <c r="I7" s="5">
        <v>192</v>
      </c>
      <c r="J7" s="1">
        <v>10</v>
      </c>
      <c r="K7" s="1">
        <v>466</v>
      </c>
      <c r="L7" s="1">
        <v>64006.882700000002</v>
      </c>
      <c r="M7" s="6">
        <f>IF(L7&gt;0,(L7*2/1000000),(I7*K7*2/1000000))</f>
        <v>0.12801376540000001</v>
      </c>
      <c r="N7" s="1">
        <f>M7*C7</f>
        <v>12.801376540000001</v>
      </c>
    </row>
    <row r="8" spans="1:14" x14ac:dyDescent="0.25">
      <c r="A8" s="2" t="s">
        <v>77</v>
      </c>
      <c r="B8" s="2" t="str">
        <f t="shared" ref="B8:B10" si="4">CONCATENATE("□",I8,"×",J8,"×",K8)</f>
        <v>□380×40×380</v>
      </c>
      <c r="C8" s="2">
        <v>5</v>
      </c>
      <c r="D8" s="3">
        <f t="shared" ref="D8" si="5">IF(L8&gt;0,(L8*J8/1000000000*7850),(I8*J8*K8/1000000000*7850))</f>
        <v>45.3416</v>
      </c>
      <c r="E8" s="3">
        <f t="shared" ref="E8" si="6">C8*D8</f>
        <v>226.708</v>
      </c>
      <c r="F8" s="38"/>
      <c r="G8" s="41"/>
      <c r="I8" s="5">
        <v>380</v>
      </c>
      <c r="J8" s="1">
        <v>40</v>
      </c>
      <c r="K8" s="1">
        <v>380</v>
      </c>
      <c r="M8" s="6">
        <f t="shared" ref="M8" si="7">IF(L8&gt;0,(L8*2/1000000),(I8*K8*2/1000000))</f>
        <v>0.2888</v>
      </c>
      <c r="N8" s="1">
        <f>M8*C8</f>
        <v>1.444</v>
      </c>
    </row>
    <row r="9" spans="1:14" x14ac:dyDescent="0.25">
      <c r="A9" s="2" t="s">
        <v>164</v>
      </c>
      <c r="B9" s="2" t="str">
        <f t="shared" ref="B9" si="8">CONCATENATE("□",I9,"×",J9,"×",K9)</f>
        <v>□340×40×340</v>
      </c>
      <c r="C9" s="2">
        <v>5</v>
      </c>
      <c r="D9" s="3">
        <f t="shared" ref="D9" si="9">IF(L9&gt;0,(L9*J9/1000000000*7850),(I9*J9*K9/1000000000*7850))</f>
        <v>36.298399999999994</v>
      </c>
      <c r="E9" s="3">
        <f t="shared" ref="E9" si="10">C9*D9</f>
        <v>181.49199999999996</v>
      </c>
      <c r="F9" s="38"/>
      <c r="G9" s="41"/>
      <c r="I9" s="5">
        <v>340</v>
      </c>
      <c r="J9" s="1">
        <v>40</v>
      </c>
      <c r="K9" s="1">
        <v>340</v>
      </c>
      <c r="M9" s="6"/>
    </row>
    <row r="10" spans="1:14" x14ac:dyDescent="0.25">
      <c r="A10" s="2" t="s">
        <v>166</v>
      </c>
      <c r="B10" s="2" t="str">
        <f t="shared" si="4"/>
        <v>□155×10×472</v>
      </c>
      <c r="C10" s="2">
        <f>C8*2</f>
        <v>10</v>
      </c>
      <c r="D10" s="3">
        <f t="shared" ref="D10" si="11">IF(L10&gt;0,(L10*J10/1000000000*7850),(I10*J10*K10/1000000000*7850))</f>
        <v>5.0290380907499994</v>
      </c>
      <c r="E10" s="3">
        <f t="shared" ref="E10" si="12">C10*D10</f>
        <v>50.290380907499994</v>
      </c>
      <c r="F10" s="39"/>
      <c r="G10" s="42"/>
      <c r="I10" s="5">
        <v>155</v>
      </c>
      <c r="J10" s="1">
        <v>10</v>
      </c>
      <c r="K10" s="1">
        <v>472</v>
      </c>
      <c r="L10" s="1">
        <v>64064.179499999998</v>
      </c>
      <c r="M10" s="6">
        <f t="shared" ref="M10" si="13">IF(L10&gt;0,(L10*2/1000000),(I10*K10*2/1000000))</f>
        <v>0.128128359</v>
      </c>
      <c r="N10" s="1">
        <f t="shared" ref="N10" si="14">M10*C10</f>
        <v>1.2812835899999999</v>
      </c>
    </row>
    <row r="11" spans="1:14" x14ac:dyDescent="0.25">
      <c r="A11" s="30" t="s">
        <v>78</v>
      </c>
      <c r="B11" s="2" t="s">
        <v>79</v>
      </c>
      <c r="C11" s="2">
        <f>4*C5</f>
        <v>200</v>
      </c>
      <c r="D11" s="3" t="s">
        <v>15</v>
      </c>
      <c r="E11" s="3" t="s">
        <v>15</v>
      </c>
      <c r="F11" s="3" t="s">
        <v>15</v>
      </c>
      <c r="G11" s="3" t="s">
        <v>15</v>
      </c>
      <c r="I11" s="5"/>
      <c r="M11" s="6"/>
    </row>
    <row r="12" spans="1:14" x14ac:dyDescent="0.25">
      <c r="A12" s="30"/>
      <c r="B12" s="2" t="s">
        <v>80</v>
      </c>
      <c r="C12" s="2">
        <f>4*C8</f>
        <v>20</v>
      </c>
      <c r="D12" s="3" t="s">
        <v>15</v>
      </c>
      <c r="E12" s="3" t="s">
        <v>15</v>
      </c>
      <c r="F12" s="3" t="s">
        <v>15</v>
      </c>
      <c r="G12" s="3" t="s">
        <v>15</v>
      </c>
      <c r="I12" s="5"/>
      <c r="M12" s="6"/>
    </row>
    <row r="14" spans="1:14" x14ac:dyDescent="0.25">
      <c r="I14" s="5"/>
    </row>
    <row r="15" spans="1:14" x14ac:dyDescent="0.25">
      <c r="I15" s="5"/>
    </row>
  </sheetData>
  <mergeCells count="5">
    <mergeCell ref="E4:F4"/>
    <mergeCell ref="A11:A12"/>
    <mergeCell ref="M4:N4"/>
    <mergeCell ref="F5:F10"/>
    <mergeCell ref="G5:G10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257D-61FD-42F4-B0A7-57D8CE3724AF}">
  <dimension ref="A3:Q54"/>
  <sheetViews>
    <sheetView tabSelected="1" topLeftCell="A7" workbookViewId="0">
      <selection activeCell="L19" sqref="L19"/>
    </sheetView>
  </sheetViews>
  <sheetFormatPr defaultColWidth="9" defaultRowHeight="13.8" x14ac:dyDescent="0.25"/>
  <cols>
    <col min="1" max="2" width="9" style="1"/>
    <col min="3" max="3" width="10" style="1" customWidth="1"/>
    <col min="4" max="4" width="12.6640625" style="1" customWidth="1"/>
    <col min="5" max="5" width="13.109375" style="1" customWidth="1"/>
    <col min="6" max="6" width="14.6640625" style="1" customWidth="1"/>
    <col min="7" max="10" width="13.109375" style="1" customWidth="1"/>
    <col min="11" max="11" width="9.44140625" style="1" bestFit="1" customWidth="1"/>
    <col min="12" max="14" width="10.21875" style="1" customWidth="1"/>
    <col min="15" max="15" width="10.33203125" style="1" customWidth="1"/>
    <col min="16" max="16" width="10.33203125" style="1" bestFit="1" customWidth="1"/>
    <col min="17" max="16384" width="9" style="1"/>
  </cols>
  <sheetData>
    <row r="3" spans="1:17" x14ac:dyDescent="0.25">
      <c r="Q3" s="5"/>
    </row>
    <row r="4" spans="1:17" x14ac:dyDescent="0.25">
      <c r="Q4" s="5"/>
    </row>
    <row r="7" spans="1:17" x14ac:dyDescent="0.25">
      <c r="I7" s="27"/>
    </row>
    <row r="8" spans="1:17" ht="27.6" x14ac:dyDescent="0.25">
      <c r="A8" s="22" t="s">
        <v>81</v>
      </c>
      <c r="B8" s="46" t="s">
        <v>82</v>
      </c>
      <c r="C8" s="47"/>
      <c r="D8" s="48"/>
      <c r="E8" s="22" t="s">
        <v>83</v>
      </c>
      <c r="F8" s="22" t="s">
        <v>128</v>
      </c>
      <c r="G8" s="22" t="s">
        <v>129</v>
      </c>
      <c r="H8" s="22" t="s">
        <v>126</v>
      </c>
      <c r="I8" s="22" t="s">
        <v>127</v>
      </c>
      <c r="J8" s="22" t="s">
        <v>136</v>
      </c>
      <c r="K8" s="22" t="s">
        <v>106</v>
      </c>
      <c r="L8" s="22" t="s">
        <v>112</v>
      </c>
      <c r="M8" s="22" t="s">
        <v>113</v>
      </c>
      <c r="N8" s="22" t="s">
        <v>161</v>
      </c>
      <c r="O8" s="22" t="s">
        <v>40</v>
      </c>
      <c r="P8" s="4" t="s">
        <v>84</v>
      </c>
    </row>
    <row r="9" spans="1:17" x14ac:dyDescent="0.25">
      <c r="A9" s="52" t="s">
        <v>85</v>
      </c>
      <c r="B9" s="54" t="s">
        <v>76</v>
      </c>
      <c r="C9" s="54"/>
      <c r="D9" s="2" t="s">
        <v>102</v>
      </c>
      <c r="E9" s="22" t="s">
        <v>87</v>
      </c>
      <c r="F9" s="25"/>
      <c r="G9" s="25"/>
      <c r="H9" s="25"/>
      <c r="I9" s="25"/>
      <c r="J9" s="25"/>
      <c r="K9" s="25">
        <f>人行护栏!B38</f>
        <v>41604.456725348304</v>
      </c>
      <c r="L9" s="25"/>
      <c r="M9" s="25"/>
      <c r="N9" s="25"/>
      <c r="O9" s="25"/>
      <c r="P9" s="26">
        <f>SUM(F9:O9)</f>
        <v>41604.456725348304</v>
      </c>
    </row>
    <row r="10" spans="1:17" x14ac:dyDescent="0.25">
      <c r="A10" s="55"/>
      <c r="B10" s="54"/>
      <c r="C10" s="54"/>
      <c r="D10" s="2" t="s">
        <v>100</v>
      </c>
      <c r="E10" s="22" t="s">
        <v>87</v>
      </c>
      <c r="F10" s="26"/>
      <c r="G10" s="25"/>
      <c r="H10" s="25"/>
      <c r="I10" s="25"/>
      <c r="J10" s="25"/>
      <c r="K10" s="25"/>
      <c r="L10" s="25"/>
      <c r="M10" s="25">
        <f>排水!B29</f>
        <v>1366.2372360000002</v>
      </c>
      <c r="N10" s="25"/>
      <c r="O10" s="25"/>
      <c r="P10" s="26">
        <f t="shared" ref="P10:P54" si="0">SUM(F10:O10)</f>
        <v>1366.2372360000002</v>
      </c>
    </row>
    <row r="11" spans="1:17" x14ac:dyDescent="0.25">
      <c r="A11" s="55"/>
      <c r="B11" s="54"/>
      <c r="C11" s="54"/>
      <c r="D11" s="2" t="s">
        <v>86</v>
      </c>
      <c r="E11" s="22" t="s">
        <v>87</v>
      </c>
      <c r="F11" s="26"/>
      <c r="G11" s="25"/>
      <c r="H11" s="25">
        <v>61387.199999999997</v>
      </c>
      <c r="I11" s="25"/>
      <c r="J11" s="25"/>
      <c r="K11" s="25"/>
      <c r="L11" s="26"/>
      <c r="M11" s="26"/>
      <c r="N11" s="26"/>
      <c r="O11" s="26"/>
      <c r="P11" s="26">
        <f t="shared" si="0"/>
        <v>61387.199999999997</v>
      </c>
    </row>
    <row r="12" spans="1:17" x14ac:dyDescent="0.25">
      <c r="A12" s="55"/>
      <c r="B12" s="54"/>
      <c r="C12" s="54"/>
      <c r="D12" s="2" t="s">
        <v>111</v>
      </c>
      <c r="E12" s="22" t="s">
        <v>87</v>
      </c>
      <c r="F12" s="26"/>
      <c r="G12" s="25"/>
      <c r="H12" s="25"/>
      <c r="I12" s="25"/>
      <c r="J12" s="25">
        <v>7929.6</v>
      </c>
      <c r="K12" s="25">
        <f>人行护栏!B39</f>
        <v>51452.200243541505</v>
      </c>
      <c r="L12" s="26">
        <f>路灯底座!B1</f>
        <v>552.74441010250007</v>
      </c>
      <c r="M12" s="26"/>
      <c r="N12" s="26"/>
      <c r="O12" s="26"/>
      <c r="P12" s="26">
        <f t="shared" si="0"/>
        <v>59934.544653644007</v>
      </c>
    </row>
    <row r="13" spans="1:17" x14ac:dyDescent="0.25">
      <c r="A13" s="55"/>
      <c r="B13" s="54"/>
      <c r="C13" s="54"/>
      <c r="D13" s="2" t="s">
        <v>131</v>
      </c>
      <c r="E13" s="22" t="s">
        <v>163</v>
      </c>
      <c r="F13" s="26"/>
      <c r="G13" s="25"/>
      <c r="H13" s="25"/>
      <c r="I13" s="25">
        <v>22288.5</v>
      </c>
      <c r="J13" s="25"/>
      <c r="K13" s="25"/>
      <c r="L13" s="26"/>
      <c r="M13" s="26"/>
      <c r="N13" s="26"/>
      <c r="O13" s="26"/>
      <c r="P13" s="26">
        <f t="shared" si="0"/>
        <v>22288.5</v>
      </c>
    </row>
    <row r="14" spans="1:17" x14ac:dyDescent="0.25">
      <c r="A14" s="55"/>
      <c r="B14" s="54"/>
      <c r="C14" s="54"/>
      <c r="D14" s="2" t="s">
        <v>132</v>
      </c>
      <c r="E14" s="22" t="s">
        <v>87</v>
      </c>
      <c r="F14" s="26"/>
      <c r="G14" s="25"/>
      <c r="H14" s="25"/>
      <c r="I14" s="25">
        <v>52426</v>
      </c>
      <c r="J14" s="25"/>
      <c r="K14" s="25"/>
      <c r="L14" s="26"/>
      <c r="M14" s="26"/>
      <c r="N14" s="26"/>
      <c r="O14" s="26"/>
      <c r="P14" s="26">
        <f t="shared" si="0"/>
        <v>52426</v>
      </c>
    </row>
    <row r="15" spans="1:17" x14ac:dyDescent="0.25">
      <c r="A15" s="55"/>
      <c r="B15" s="54"/>
      <c r="C15" s="54"/>
      <c r="D15" s="2" t="s">
        <v>101</v>
      </c>
      <c r="E15" s="22" t="s">
        <v>87</v>
      </c>
      <c r="F15" s="26"/>
      <c r="G15" s="25"/>
      <c r="H15" s="25"/>
      <c r="I15" s="25"/>
      <c r="J15" s="25"/>
      <c r="K15" s="25"/>
      <c r="L15" s="26"/>
      <c r="M15" s="26">
        <f>排水!B30</f>
        <v>461.61014399999993</v>
      </c>
      <c r="N15" s="26"/>
      <c r="O15" s="26"/>
      <c r="P15" s="26">
        <f t="shared" si="0"/>
        <v>461.61014399999993</v>
      </c>
    </row>
    <row r="16" spans="1:17" x14ac:dyDescent="0.25">
      <c r="A16" s="55"/>
      <c r="B16" s="54"/>
      <c r="C16" s="54"/>
      <c r="D16" s="2" t="s">
        <v>88</v>
      </c>
      <c r="E16" s="22" t="s">
        <v>87</v>
      </c>
      <c r="F16" s="26"/>
      <c r="G16" s="25"/>
      <c r="H16" s="25"/>
      <c r="I16" s="25"/>
      <c r="J16" s="25"/>
      <c r="K16" s="25"/>
      <c r="L16" s="26"/>
      <c r="M16" s="26">
        <f>排水!B31</f>
        <v>18.229584000000003</v>
      </c>
      <c r="N16" s="26"/>
      <c r="O16" s="26">
        <f>伸缩缝!D15</f>
        <v>308.70771839999998</v>
      </c>
      <c r="P16" s="26">
        <f t="shared" si="0"/>
        <v>326.93730239999996</v>
      </c>
    </row>
    <row r="17" spans="1:16" x14ac:dyDescent="0.25">
      <c r="A17" s="55"/>
      <c r="B17" s="54"/>
      <c r="C17" s="54"/>
      <c r="D17" s="2" t="s">
        <v>89</v>
      </c>
      <c r="E17" s="22" t="s">
        <v>87</v>
      </c>
      <c r="F17" s="26"/>
      <c r="G17" s="25"/>
      <c r="H17" s="25"/>
      <c r="I17" s="25"/>
      <c r="J17" s="25"/>
      <c r="K17" s="25"/>
      <c r="L17" s="26"/>
      <c r="M17" s="26"/>
      <c r="N17" s="26"/>
      <c r="O17" s="26">
        <f>伸缩缝!E13</f>
        <v>4568.7078500000007</v>
      </c>
      <c r="P17" s="26">
        <f t="shared" si="0"/>
        <v>4568.7078500000007</v>
      </c>
    </row>
    <row r="18" spans="1:16" x14ac:dyDescent="0.25">
      <c r="A18" s="55"/>
      <c r="B18" s="54"/>
      <c r="C18" s="54"/>
      <c r="D18" s="2" t="s">
        <v>167</v>
      </c>
      <c r="E18" s="22" t="s">
        <v>87</v>
      </c>
      <c r="F18" s="26"/>
      <c r="G18" s="25"/>
      <c r="H18" s="25"/>
      <c r="I18" s="25"/>
      <c r="J18" s="25"/>
      <c r="K18" s="25"/>
      <c r="L18" s="26">
        <f>路灯底座!B2</f>
        <v>1171.5340000000001</v>
      </c>
      <c r="M18" s="26"/>
      <c r="N18" s="26"/>
      <c r="O18" s="26"/>
      <c r="P18" s="26">
        <f t="shared" si="0"/>
        <v>1171.5340000000001</v>
      </c>
    </row>
    <row r="19" spans="1:16" x14ac:dyDescent="0.25">
      <c r="A19" s="55"/>
      <c r="B19" s="54"/>
      <c r="C19" s="54"/>
      <c r="D19" s="2" t="s">
        <v>91</v>
      </c>
      <c r="E19" s="22" t="s">
        <v>87</v>
      </c>
      <c r="F19" s="26"/>
      <c r="G19" s="25"/>
      <c r="H19" s="25"/>
      <c r="I19" s="25"/>
      <c r="J19" s="25"/>
      <c r="K19" s="25"/>
      <c r="L19" s="26">
        <f>路灯底座!B3</f>
        <v>408.19999999999993</v>
      </c>
      <c r="M19" s="26"/>
      <c r="N19" s="26"/>
      <c r="O19" s="26"/>
      <c r="P19" s="26">
        <f t="shared" si="0"/>
        <v>408.19999999999993</v>
      </c>
    </row>
    <row r="20" spans="1:16" x14ac:dyDescent="0.25">
      <c r="A20" s="55"/>
      <c r="B20" s="54"/>
      <c r="C20" s="54"/>
      <c r="D20" s="2" t="s">
        <v>90</v>
      </c>
      <c r="E20" s="22" t="s">
        <v>87</v>
      </c>
      <c r="F20" s="25"/>
      <c r="G20" s="25"/>
      <c r="H20" s="25"/>
      <c r="I20" s="25"/>
      <c r="J20" s="25"/>
      <c r="K20" s="25"/>
      <c r="L20" s="26"/>
      <c r="M20" s="26">
        <f>排水!B32</f>
        <v>1070.60184</v>
      </c>
      <c r="N20" s="26"/>
      <c r="O20" s="26"/>
      <c r="P20" s="26">
        <f t="shared" si="0"/>
        <v>1070.60184</v>
      </c>
    </row>
    <row r="21" spans="1:16" ht="15" customHeight="1" x14ac:dyDescent="0.25">
      <c r="A21" s="55"/>
      <c r="B21" s="54"/>
      <c r="C21" s="54"/>
      <c r="D21" s="2" t="s">
        <v>114</v>
      </c>
      <c r="E21" s="22" t="s">
        <v>87</v>
      </c>
      <c r="F21" s="25"/>
      <c r="G21" s="25"/>
      <c r="H21" s="25"/>
      <c r="I21" s="25"/>
      <c r="J21" s="25"/>
      <c r="K21" s="25"/>
      <c r="L21" s="26"/>
      <c r="M21" s="26">
        <f>排水!B27</f>
        <v>14725.489767168101</v>
      </c>
      <c r="N21" s="26"/>
      <c r="O21" s="26"/>
      <c r="P21" s="26">
        <f t="shared" si="0"/>
        <v>14725.489767168101</v>
      </c>
    </row>
    <row r="22" spans="1:16" x14ac:dyDescent="0.25">
      <c r="A22" s="55"/>
      <c r="B22" s="54"/>
      <c r="C22" s="54"/>
      <c r="D22" s="2" t="s">
        <v>115</v>
      </c>
      <c r="E22" s="22" t="s">
        <v>87</v>
      </c>
      <c r="F22" s="25"/>
      <c r="G22" s="25"/>
      <c r="H22" s="25"/>
      <c r="I22" s="25"/>
      <c r="J22" s="25"/>
      <c r="K22" s="25"/>
      <c r="L22" s="26"/>
      <c r="M22" s="26">
        <f>排水!B28</f>
        <v>2966.7763585908001</v>
      </c>
      <c r="N22" s="26"/>
      <c r="O22" s="26"/>
      <c r="P22" s="26">
        <f t="shared" si="0"/>
        <v>2966.7763585908001</v>
      </c>
    </row>
    <row r="23" spans="1:16" x14ac:dyDescent="0.25">
      <c r="A23" s="55"/>
      <c r="B23" s="54" t="s">
        <v>92</v>
      </c>
      <c r="C23" s="54"/>
      <c r="D23" s="54"/>
      <c r="E23" s="22" t="s">
        <v>87</v>
      </c>
      <c r="F23" s="25"/>
      <c r="G23" s="25"/>
      <c r="H23" s="25">
        <f t="shared" ref="H23:O23" si="1">SUM(H9:H22)</f>
        <v>61387.199999999997</v>
      </c>
      <c r="I23" s="25">
        <f t="shared" si="1"/>
        <v>74714.5</v>
      </c>
      <c r="J23" s="25">
        <f t="shared" si="1"/>
        <v>7929.6</v>
      </c>
      <c r="K23" s="25">
        <f t="shared" si="1"/>
        <v>93056.656968889816</v>
      </c>
      <c r="L23" s="25">
        <f t="shared" si="1"/>
        <v>2132.4784101025002</v>
      </c>
      <c r="M23" s="25">
        <f t="shared" si="1"/>
        <v>20608.944929758902</v>
      </c>
      <c r="N23" s="25"/>
      <c r="O23" s="25">
        <f t="shared" si="1"/>
        <v>4877.4155684000007</v>
      </c>
      <c r="P23" s="26">
        <f t="shared" si="0"/>
        <v>264706.79587715125</v>
      </c>
    </row>
    <row r="24" spans="1:16" x14ac:dyDescent="0.25">
      <c r="A24" s="55"/>
      <c r="B24" s="54" t="s">
        <v>165</v>
      </c>
      <c r="C24" s="54"/>
      <c r="D24" s="2" t="s">
        <v>130</v>
      </c>
      <c r="E24" s="22"/>
      <c r="F24" s="26">
        <v>552</v>
      </c>
      <c r="G24" s="25">
        <v>1104</v>
      </c>
      <c r="H24" s="25"/>
      <c r="I24" s="25"/>
      <c r="J24" s="25"/>
      <c r="K24" s="25"/>
      <c r="L24" s="25"/>
      <c r="M24" s="25"/>
      <c r="N24" s="25"/>
      <c r="O24" s="25"/>
      <c r="P24" s="26">
        <f t="shared" si="0"/>
        <v>1656</v>
      </c>
    </row>
    <row r="25" spans="1:16" x14ac:dyDescent="0.25">
      <c r="A25" s="55"/>
      <c r="B25" s="54"/>
      <c r="C25" s="54"/>
      <c r="D25" s="2" t="s">
        <v>86</v>
      </c>
      <c r="E25" s="22"/>
      <c r="F25" s="26">
        <v>883.2</v>
      </c>
      <c r="G25" s="25">
        <v>1987.2</v>
      </c>
      <c r="H25" s="25"/>
      <c r="I25" s="25"/>
      <c r="J25" s="25"/>
      <c r="K25" s="25"/>
      <c r="L25" s="25"/>
      <c r="M25" s="25"/>
      <c r="N25" s="25"/>
      <c r="O25" s="25"/>
      <c r="P25" s="26">
        <f t="shared" si="0"/>
        <v>2870.4</v>
      </c>
    </row>
    <row r="26" spans="1:16" x14ac:dyDescent="0.25">
      <c r="A26" s="55"/>
      <c r="B26" s="54"/>
      <c r="C26" s="54"/>
      <c r="D26" s="2" t="s">
        <v>111</v>
      </c>
      <c r="E26" s="22"/>
      <c r="F26" s="26">
        <v>3450</v>
      </c>
      <c r="G26" s="25">
        <v>3450</v>
      </c>
      <c r="H26" s="25"/>
      <c r="I26" s="25"/>
      <c r="J26" s="25"/>
      <c r="K26" s="25"/>
      <c r="L26" s="25"/>
      <c r="M26" s="25"/>
      <c r="N26" s="25"/>
      <c r="O26" s="25"/>
      <c r="P26" s="26">
        <f t="shared" si="0"/>
        <v>6900</v>
      </c>
    </row>
    <row r="27" spans="1:16" x14ac:dyDescent="0.25">
      <c r="A27" s="55"/>
      <c r="B27" s="54"/>
      <c r="C27" s="54"/>
      <c r="D27" s="2" t="s">
        <v>131</v>
      </c>
      <c r="E27" s="22"/>
      <c r="F27" s="26">
        <v>524.4</v>
      </c>
      <c r="G27" s="25">
        <v>524.4</v>
      </c>
      <c r="H27" s="25"/>
      <c r="I27" s="25"/>
      <c r="J27" s="25"/>
      <c r="K27" s="25"/>
      <c r="L27" s="25"/>
      <c r="M27" s="25"/>
      <c r="N27" s="25"/>
      <c r="O27" s="25"/>
      <c r="P27" s="26">
        <f t="shared" si="0"/>
        <v>1048.8</v>
      </c>
    </row>
    <row r="28" spans="1:16" x14ac:dyDescent="0.25">
      <c r="A28" s="55"/>
      <c r="B28" s="54"/>
      <c r="C28" s="54"/>
      <c r="D28" s="2" t="s">
        <v>132</v>
      </c>
      <c r="E28" s="22"/>
      <c r="F28" s="26">
        <v>8707.7999999999993</v>
      </c>
      <c r="G28" s="25">
        <v>17526</v>
      </c>
      <c r="H28" s="25"/>
      <c r="I28" s="25"/>
      <c r="J28" s="25"/>
      <c r="K28" s="25"/>
      <c r="L28" s="25"/>
      <c r="M28" s="25"/>
      <c r="N28" s="25"/>
      <c r="O28" s="25"/>
      <c r="P28" s="26">
        <f t="shared" si="0"/>
        <v>26233.8</v>
      </c>
    </row>
    <row r="29" spans="1:16" x14ac:dyDescent="0.25">
      <c r="A29" s="55"/>
      <c r="B29" s="54"/>
      <c r="C29" s="54"/>
      <c r="D29" s="2" t="s">
        <v>90</v>
      </c>
      <c r="E29" s="22"/>
      <c r="F29" s="26">
        <v>8666.4</v>
      </c>
      <c r="G29" s="25">
        <v>17332.8</v>
      </c>
      <c r="H29" s="25"/>
      <c r="I29" s="25"/>
      <c r="J29" s="25"/>
      <c r="K29" s="25"/>
      <c r="L29" s="25"/>
      <c r="M29" s="25"/>
      <c r="N29" s="25"/>
      <c r="O29" s="25"/>
      <c r="P29" s="26">
        <f t="shared" si="0"/>
        <v>25999.199999999997</v>
      </c>
    </row>
    <row r="30" spans="1:16" x14ac:dyDescent="0.25">
      <c r="A30" s="55"/>
      <c r="B30" s="56" t="s">
        <v>92</v>
      </c>
      <c r="C30" s="57"/>
      <c r="D30" s="58"/>
      <c r="E30" s="22"/>
      <c r="F30" s="25">
        <f>SUM(F24:F29)</f>
        <v>22783.799999999996</v>
      </c>
      <c r="G30" s="25">
        <f>SUM(G24:G29)</f>
        <v>41924.399999999994</v>
      </c>
      <c r="H30" s="25"/>
      <c r="I30" s="25"/>
      <c r="J30" s="25"/>
      <c r="K30" s="25"/>
      <c r="L30" s="25"/>
      <c r="M30" s="25"/>
      <c r="N30" s="25"/>
      <c r="O30" s="25"/>
      <c r="P30" s="26">
        <f t="shared" si="0"/>
        <v>64708.19999999999</v>
      </c>
    </row>
    <row r="31" spans="1:16" x14ac:dyDescent="0.25">
      <c r="A31" s="55" t="s">
        <v>78</v>
      </c>
      <c r="B31" s="46" t="s">
        <v>162</v>
      </c>
      <c r="C31" s="47"/>
      <c r="D31" s="48"/>
      <c r="E31" s="22" t="s">
        <v>93</v>
      </c>
      <c r="F31" s="25"/>
      <c r="G31" s="25"/>
      <c r="H31" s="25"/>
      <c r="I31" s="25">
        <v>2484</v>
      </c>
      <c r="J31" s="25"/>
      <c r="K31" s="25"/>
      <c r="L31" s="25"/>
      <c r="M31" s="25"/>
      <c r="N31" s="25"/>
      <c r="O31" s="25"/>
      <c r="P31" s="26">
        <f t="shared" si="0"/>
        <v>2484</v>
      </c>
    </row>
    <row r="32" spans="1:16" x14ac:dyDescent="0.25">
      <c r="A32" s="55"/>
      <c r="B32" s="46" t="s">
        <v>80</v>
      </c>
      <c r="C32" s="47"/>
      <c r="D32" s="48"/>
      <c r="E32" s="22" t="s">
        <v>93</v>
      </c>
      <c r="F32" s="25"/>
      <c r="G32" s="25"/>
      <c r="H32" s="25"/>
      <c r="I32" s="25"/>
      <c r="J32" s="25"/>
      <c r="K32" s="25"/>
      <c r="L32" s="26">
        <f>路灯底座!C12</f>
        <v>20</v>
      </c>
      <c r="M32" s="26"/>
      <c r="N32" s="26"/>
      <c r="O32" s="26"/>
      <c r="P32" s="28">
        <f t="shared" si="0"/>
        <v>20</v>
      </c>
    </row>
    <row r="33" spans="1:16" x14ac:dyDescent="0.25">
      <c r="A33" s="55"/>
      <c r="B33" s="46" t="s">
        <v>79</v>
      </c>
      <c r="C33" s="47"/>
      <c r="D33" s="48"/>
      <c r="E33" s="22" t="s">
        <v>93</v>
      </c>
      <c r="F33" s="25"/>
      <c r="G33" s="25"/>
      <c r="H33" s="25"/>
      <c r="I33" s="25"/>
      <c r="J33" s="25"/>
      <c r="K33" s="25"/>
      <c r="L33" s="28">
        <f>路灯底座!C11</f>
        <v>200</v>
      </c>
      <c r="M33" s="28"/>
      <c r="N33" s="28"/>
      <c r="O33" s="28">
        <f>伸缩缝!D16</f>
        <v>162</v>
      </c>
      <c r="P33" s="28">
        <f t="shared" si="0"/>
        <v>362</v>
      </c>
    </row>
    <row r="34" spans="1:16" x14ac:dyDescent="0.25">
      <c r="A34" s="55"/>
      <c r="B34" s="46" t="s">
        <v>137</v>
      </c>
      <c r="C34" s="47"/>
      <c r="D34" s="48"/>
      <c r="E34" s="22" t="s">
        <v>93</v>
      </c>
      <c r="F34" s="25"/>
      <c r="G34" s="25"/>
      <c r="H34" s="25"/>
      <c r="I34" s="25"/>
      <c r="J34" s="25">
        <v>4032</v>
      </c>
      <c r="K34" s="25"/>
      <c r="L34" s="26"/>
      <c r="M34" s="26"/>
      <c r="N34" s="26"/>
      <c r="O34" s="26"/>
      <c r="P34" s="26">
        <f t="shared" si="0"/>
        <v>4032</v>
      </c>
    </row>
    <row r="35" spans="1:16" x14ac:dyDescent="0.25">
      <c r="A35" s="53"/>
      <c r="B35" s="46" t="s">
        <v>133</v>
      </c>
      <c r="C35" s="47"/>
      <c r="D35" s="48"/>
      <c r="E35" s="22" t="s">
        <v>93</v>
      </c>
      <c r="F35" s="25">
        <v>3312</v>
      </c>
      <c r="G35" s="25">
        <v>3312</v>
      </c>
      <c r="H35" s="25"/>
      <c r="I35" s="25"/>
      <c r="J35" s="25"/>
      <c r="K35" s="25"/>
      <c r="L35" s="26"/>
      <c r="M35" s="26"/>
      <c r="N35" s="26"/>
      <c r="O35" s="26"/>
      <c r="P35" s="26">
        <f t="shared" si="0"/>
        <v>6624</v>
      </c>
    </row>
    <row r="36" spans="1:16" x14ac:dyDescent="0.25">
      <c r="A36" s="52" t="s">
        <v>134</v>
      </c>
      <c r="B36" s="46" t="s">
        <v>137</v>
      </c>
      <c r="C36" s="47"/>
      <c r="D36" s="48"/>
      <c r="E36" s="22" t="s">
        <v>121</v>
      </c>
      <c r="F36" s="25"/>
      <c r="G36" s="25"/>
      <c r="H36" s="25"/>
      <c r="I36" s="25"/>
      <c r="J36" s="25">
        <v>4032</v>
      </c>
      <c r="K36" s="25"/>
      <c r="L36" s="26"/>
      <c r="M36" s="26"/>
      <c r="N36" s="26"/>
      <c r="O36" s="26"/>
      <c r="P36" s="26">
        <f t="shared" si="0"/>
        <v>4032</v>
      </c>
    </row>
    <row r="37" spans="1:16" x14ac:dyDescent="0.25">
      <c r="A37" s="53"/>
      <c r="B37" s="46" t="s">
        <v>133</v>
      </c>
      <c r="C37" s="47"/>
      <c r="D37" s="48"/>
      <c r="E37" s="22" t="s">
        <v>121</v>
      </c>
      <c r="F37" s="25">
        <v>6624</v>
      </c>
      <c r="G37" s="25">
        <v>6624</v>
      </c>
      <c r="H37" s="25"/>
      <c r="I37" s="25"/>
      <c r="J37" s="25"/>
      <c r="K37" s="25"/>
      <c r="L37" s="26"/>
      <c r="M37" s="26"/>
      <c r="N37" s="26"/>
      <c r="O37" s="26"/>
      <c r="P37" s="26">
        <f t="shared" si="0"/>
        <v>13248</v>
      </c>
    </row>
    <row r="38" spans="1:16" x14ac:dyDescent="0.25">
      <c r="A38" s="52" t="s">
        <v>135</v>
      </c>
      <c r="B38" s="46" t="s">
        <v>137</v>
      </c>
      <c r="C38" s="47"/>
      <c r="D38" s="48"/>
      <c r="E38" s="22" t="s">
        <v>121</v>
      </c>
      <c r="F38" s="25"/>
      <c r="G38" s="25"/>
      <c r="H38" s="25"/>
      <c r="I38" s="25"/>
      <c r="J38" s="25">
        <v>8064</v>
      </c>
      <c r="K38" s="25"/>
      <c r="L38" s="26"/>
      <c r="M38" s="26"/>
      <c r="N38" s="26"/>
      <c r="O38" s="26"/>
      <c r="P38" s="26">
        <f t="shared" si="0"/>
        <v>8064</v>
      </c>
    </row>
    <row r="39" spans="1:16" x14ac:dyDescent="0.25">
      <c r="A39" s="53"/>
      <c r="B39" s="46" t="s">
        <v>133</v>
      </c>
      <c r="C39" s="47"/>
      <c r="D39" s="48"/>
      <c r="E39" s="22" t="s">
        <v>121</v>
      </c>
      <c r="F39" s="25">
        <v>6624</v>
      </c>
      <c r="G39" s="25">
        <v>6624</v>
      </c>
      <c r="H39" s="25"/>
      <c r="I39" s="25"/>
      <c r="J39" s="25"/>
      <c r="K39" s="25"/>
      <c r="L39" s="26"/>
      <c r="M39" s="26"/>
      <c r="N39" s="26"/>
      <c r="O39" s="26"/>
      <c r="P39" s="26">
        <f t="shared" si="0"/>
        <v>13248</v>
      </c>
    </row>
    <row r="40" spans="1:16" ht="14.25" customHeight="1" x14ac:dyDescent="0.25">
      <c r="A40" s="33" t="s">
        <v>118</v>
      </c>
      <c r="B40" s="54" t="s">
        <v>119</v>
      </c>
      <c r="C40" s="54"/>
      <c r="D40" s="54"/>
      <c r="E40" s="22" t="s">
        <v>121</v>
      </c>
      <c r="F40" s="25"/>
      <c r="G40" s="25"/>
      <c r="H40" s="25"/>
      <c r="I40" s="25"/>
      <c r="J40" s="25"/>
      <c r="K40" s="25"/>
      <c r="L40" s="26"/>
      <c r="M40" s="28">
        <f>排水!G9</f>
        <v>82</v>
      </c>
      <c r="N40" s="28"/>
      <c r="O40" s="28"/>
      <c r="P40" s="28">
        <f t="shared" si="0"/>
        <v>82</v>
      </c>
    </row>
    <row r="41" spans="1:16" ht="15" customHeight="1" x14ac:dyDescent="0.25">
      <c r="A41" s="33"/>
      <c r="B41" s="54" t="s">
        <v>120</v>
      </c>
      <c r="C41" s="54"/>
      <c r="D41" s="54"/>
      <c r="E41" s="22" t="s">
        <v>121</v>
      </c>
      <c r="F41" s="25"/>
      <c r="G41" s="25"/>
      <c r="H41" s="25"/>
      <c r="I41" s="25"/>
      <c r="J41" s="25"/>
      <c r="K41" s="25"/>
      <c r="L41" s="26"/>
      <c r="M41" s="28">
        <f>排水!D22</f>
        <v>8</v>
      </c>
      <c r="N41" s="28"/>
      <c r="O41" s="28"/>
      <c r="P41" s="28">
        <f t="shared" si="0"/>
        <v>8</v>
      </c>
    </row>
    <row r="42" spans="1:16" ht="18" customHeight="1" x14ac:dyDescent="0.25">
      <c r="A42" s="52" t="s">
        <v>122</v>
      </c>
      <c r="B42" s="46" t="s">
        <v>123</v>
      </c>
      <c r="C42" s="47"/>
      <c r="D42" s="48"/>
      <c r="E42" s="22" t="s">
        <v>121</v>
      </c>
      <c r="F42" s="25"/>
      <c r="G42" s="25"/>
      <c r="H42" s="25"/>
      <c r="I42" s="25"/>
      <c r="J42" s="25"/>
      <c r="K42" s="25"/>
      <c r="L42" s="26"/>
      <c r="M42" s="28">
        <f>排水!G10</f>
        <v>82</v>
      </c>
      <c r="N42" s="28"/>
      <c r="O42" s="28"/>
      <c r="P42" s="28">
        <f t="shared" si="0"/>
        <v>82</v>
      </c>
    </row>
    <row r="43" spans="1:16" ht="18" customHeight="1" x14ac:dyDescent="0.25">
      <c r="A43" s="53"/>
      <c r="B43" s="46" t="s">
        <v>124</v>
      </c>
      <c r="C43" s="47"/>
      <c r="D43" s="48"/>
      <c r="E43" s="22" t="s">
        <v>121</v>
      </c>
      <c r="F43" s="25"/>
      <c r="G43" s="25"/>
      <c r="H43" s="25"/>
      <c r="I43" s="25"/>
      <c r="J43" s="25"/>
      <c r="K43" s="25"/>
      <c r="L43" s="26"/>
      <c r="M43" s="28">
        <f>排水!G11</f>
        <v>82</v>
      </c>
      <c r="N43" s="28"/>
      <c r="O43" s="28"/>
      <c r="P43" s="28">
        <f t="shared" si="0"/>
        <v>82</v>
      </c>
    </row>
    <row r="44" spans="1:16" ht="18" customHeight="1" x14ac:dyDescent="0.25">
      <c r="A44" s="49" t="s">
        <v>30</v>
      </c>
      <c r="B44" s="50"/>
      <c r="C44" s="50"/>
      <c r="D44" s="51"/>
      <c r="E44" s="22" t="s">
        <v>117</v>
      </c>
      <c r="F44" s="25"/>
      <c r="G44" s="25"/>
      <c r="H44" s="25"/>
      <c r="I44" s="25"/>
      <c r="J44" s="25"/>
      <c r="K44" s="25"/>
      <c r="L44" s="26"/>
      <c r="M44" s="26">
        <f>0.13*排水!G12</f>
        <v>10.66</v>
      </c>
      <c r="N44" s="26"/>
      <c r="O44" s="26"/>
      <c r="P44" s="26">
        <f t="shared" si="0"/>
        <v>10.66</v>
      </c>
    </row>
    <row r="45" spans="1:16" ht="16.2" x14ac:dyDescent="0.25">
      <c r="A45" s="54" t="s">
        <v>11</v>
      </c>
      <c r="B45" s="54" t="s">
        <v>94</v>
      </c>
      <c r="C45" s="54"/>
      <c r="D45" s="54"/>
      <c r="E45" s="22" t="s">
        <v>95</v>
      </c>
      <c r="F45" s="25">
        <v>357.9</v>
      </c>
      <c r="G45" s="25">
        <v>625.79999999999995</v>
      </c>
      <c r="H45" s="25">
        <v>977.5</v>
      </c>
      <c r="I45" s="25">
        <v>477</v>
      </c>
      <c r="J45" s="25">
        <v>101</v>
      </c>
      <c r="K45" s="25">
        <f>人行护栏!B40</f>
        <v>2183.8154834767602</v>
      </c>
      <c r="L45" s="26">
        <f>路灯底座!N5+路灯底座!N8</f>
        <v>7.694</v>
      </c>
      <c r="M45" s="26">
        <f>排水!B33</f>
        <v>458.28699562634904</v>
      </c>
      <c r="N45" s="26"/>
      <c r="O45" s="26"/>
      <c r="P45" s="26">
        <f t="shared" si="0"/>
        <v>5188.9964791031098</v>
      </c>
    </row>
    <row r="46" spans="1:16" ht="16.2" x14ac:dyDescent="0.25">
      <c r="A46" s="54"/>
      <c r="B46" s="54" t="s">
        <v>96</v>
      </c>
      <c r="C46" s="54"/>
      <c r="D46" s="54"/>
      <c r="E46" s="22" t="s">
        <v>95</v>
      </c>
      <c r="F46" s="25"/>
      <c r="G46" s="25"/>
      <c r="H46" s="25">
        <v>977.5</v>
      </c>
      <c r="I46" s="25">
        <v>950.2</v>
      </c>
      <c r="J46" s="25">
        <v>101</v>
      </c>
      <c r="K46" s="25">
        <f>人行护栏!B41</f>
        <v>935.92092149004009</v>
      </c>
      <c r="L46" s="26"/>
      <c r="M46" s="26">
        <f>排水!B34</f>
        <v>196.40871241129247</v>
      </c>
      <c r="N46" s="26"/>
      <c r="O46" s="26"/>
      <c r="P46" s="26">
        <f t="shared" si="0"/>
        <v>3161.0296339013325</v>
      </c>
    </row>
    <row r="47" spans="1:16" ht="16.2" x14ac:dyDescent="0.25">
      <c r="A47" s="43" t="s">
        <v>157</v>
      </c>
      <c r="B47" s="46" t="s">
        <v>159</v>
      </c>
      <c r="C47" s="47"/>
      <c r="D47" s="48"/>
      <c r="E47" s="22" t="s">
        <v>158</v>
      </c>
      <c r="F47" s="25"/>
      <c r="G47" s="25"/>
      <c r="H47" s="25"/>
      <c r="I47" s="25"/>
      <c r="J47" s="25"/>
      <c r="K47" s="25"/>
      <c r="L47" s="26"/>
      <c r="M47" s="26"/>
      <c r="N47" s="8">
        <f>23.5*203.76</f>
        <v>4788.3599999999997</v>
      </c>
      <c r="O47" s="26"/>
      <c r="P47" s="26">
        <f t="shared" si="0"/>
        <v>4788.3599999999997</v>
      </c>
    </row>
    <row r="48" spans="1:16" ht="16.2" x14ac:dyDescent="0.25">
      <c r="A48" s="44"/>
      <c r="B48" s="46" t="s">
        <v>138</v>
      </c>
      <c r="C48" s="47"/>
      <c r="D48" s="48"/>
      <c r="E48" s="22" t="s">
        <v>158</v>
      </c>
      <c r="F48" s="25"/>
      <c r="G48" s="25"/>
      <c r="H48" s="25"/>
      <c r="I48" s="25"/>
      <c r="J48" s="25"/>
      <c r="K48" s="25"/>
      <c r="L48" s="26"/>
      <c r="M48" s="26"/>
      <c r="N48" s="8">
        <f>(3-0.49-0.15)*204*2</f>
        <v>962.88</v>
      </c>
      <c r="O48" s="26"/>
      <c r="P48" s="26">
        <f t="shared" si="0"/>
        <v>962.88</v>
      </c>
    </row>
    <row r="49" spans="1:16" ht="16.2" x14ac:dyDescent="0.25">
      <c r="A49" s="44"/>
      <c r="B49" s="46" t="s">
        <v>160</v>
      </c>
      <c r="C49" s="47"/>
      <c r="D49" s="48"/>
      <c r="E49" s="22" t="s">
        <v>158</v>
      </c>
      <c r="F49" s="25"/>
      <c r="G49" s="25"/>
      <c r="H49" s="25"/>
      <c r="I49" s="25"/>
      <c r="J49" s="25"/>
      <c r="K49" s="25"/>
      <c r="L49" s="26"/>
      <c r="M49" s="26"/>
      <c r="N49" s="8">
        <f>(3-0.49-0.15)*204*2</f>
        <v>962.88</v>
      </c>
      <c r="O49" s="26"/>
      <c r="P49" s="26">
        <f t="shared" si="0"/>
        <v>962.88</v>
      </c>
    </row>
    <row r="50" spans="1:16" ht="16.2" x14ac:dyDescent="0.25">
      <c r="A50" s="44"/>
      <c r="B50" s="46" t="s">
        <v>139</v>
      </c>
      <c r="C50" s="47"/>
      <c r="D50" s="48"/>
      <c r="E50" s="22" t="s">
        <v>158</v>
      </c>
      <c r="F50" s="25"/>
      <c r="G50" s="25"/>
      <c r="H50" s="25"/>
      <c r="I50" s="25"/>
      <c r="J50" s="25"/>
      <c r="K50" s="25"/>
      <c r="L50" s="26"/>
      <c r="M50" s="26"/>
      <c r="N50" s="8">
        <f>7131600/10000*2</f>
        <v>1426.32</v>
      </c>
      <c r="O50" s="26"/>
      <c r="P50" s="26">
        <f t="shared" si="0"/>
        <v>1426.32</v>
      </c>
    </row>
    <row r="51" spans="1:16" ht="16.2" x14ac:dyDescent="0.25">
      <c r="A51" s="45"/>
      <c r="B51" s="46" t="s">
        <v>140</v>
      </c>
      <c r="C51" s="47"/>
      <c r="D51" s="48"/>
      <c r="E51" s="22" t="s">
        <v>158</v>
      </c>
      <c r="F51" s="25"/>
      <c r="G51" s="25"/>
      <c r="H51" s="25"/>
      <c r="I51" s="25"/>
      <c r="J51" s="25"/>
      <c r="K51" s="25"/>
      <c r="L51" s="26"/>
      <c r="M51" s="26"/>
      <c r="N51" s="8">
        <f>41964093.6724/10000*2</f>
        <v>8392.818734479999</v>
      </c>
      <c r="O51" s="26"/>
      <c r="P51" s="26">
        <f t="shared" si="0"/>
        <v>8392.818734479999</v>
      </c>
    </row>
    <row r="52" spans="1:16" ht="14.25" customHeight="1" x14ac:dyDescent="0.25">
      <c r="A52" s="22" t="s">
        <v>37</v>
      </c>
      <c r="B52" s="46" t="s">
        <v>125</v>
      </c>
      <c r="C52" s="47"/>
      <c r="D52" s="48"/>
      <c r="E52" s="22" t="s">
        <v>121</v>
      </c>
      <c r="F52" s="25"/>
      <c r="G52" s="25"/>
      <c r="H52" s="25"/>
      <c r="I52" s="25"/>
      <c r="J52" s="25"/>
      <c r="K52" s="25"/>
      <c r="L52" s="26"/>
      <c r="M52" s="28">
        <f>排水!D23</f>
        <v>4</v>
      </c>
      <c r="N52" s="28"/>
      <c r="O52" s="28"/>
      <c r="P52" s="28">
        <f t="shared" si="0"/>
        <v>4</v>
      </c>
    </row>
    <row r="53" spans="1:16" x14ac:dyDescent="0.25">
      <c r="A53" s="4" t="s">
        <v>40</v>
      </c>
      <c r="B53" s="30" t="s">
        <v>41</v>
      </c>
      <c r="C53" s="30"/>
      <c r="D53" s="30"/>
      <c r="E53" s="4" t="s">
        <v>116</v>
      </c>
      <c r="F53" s="4"/>
      <c r="G53" s="4"/>
      <c r="H53" s="4"/>
      <c r="I53" s="4"/>
      <c r="J53" s="4"/>
      <c r="K53" s="4"/>
      <c r="L53" s="4"/>
      <c r="M53" s="4"/>
      <c r="N53" s="4"/>
      <c r="O53" s="16" t="str">
        <f>伸缩缝!D11</f>
        <v>49/2</v>
      </c>
      <c r="P53" s="8" t="str">
        <f>O53</f>
        <v>49/2</v>
      </c>
    </row>
    <row r="54" spans="1:16" x14ac:dyDescent="0.25">
      <c r="A54" s="29" t="s">
        <v>154</v>
      </c>
      <c r="B54" s="30" t="s">
        <v>155</v>
      </c>
      <c r="C54" s="30"/>
      <c r="D54" s="30"/>
      <c r="E54" s="22" t="s">
        <v>117</v>
      </c>
      <c r="F54" s="4"/>
      <c r="G54" s="4"/>
      <c r="H54" s="4"/>
      <c r="I54" s="4"/>
      <c r="J54" s="4"/>
      <c r="K54" s="4"/>
      <c r="L54" s="4"/>
      <c r="M54" s="4"/>
      <c r="N54" s="4"/>
      <c r="O54" s="4">
        <f>伸缩缝!D17</f>
        <v>40.6</v>
      </c>
      <c r="P54" s="28">
        <f t="shared" si="0"/>
        <v>40.6</v>
      </c>
    </row>
  </sheetData>
  <mergeCells count="37">
    <mergeCell ref="B31:D31"/>
    <mergeCell ref="A31:A35"/>
    <mergeCell ref="B24:C29"/>
    <mergeCell ref="B30:D30"/>
    <mergeCell ref="A9:A30"/>
    <mergeCell ref="B8:D8"/>
    <mergeCell ref="A45:A46"/>
    <mergeCell ref="B45:D45"/>
    <mergeCell ref="B46:D46"/>
    <mergeCell ref="B9:C22"/>
    <mergeCell ref="B23:D23"/>
    <mergeCell ref="B32:D32"/>
    <mergeCell ref="B33:D33"/>
    <mergeCell ref="A40:A41"/>
    <mergeCell ref="A42:A43"/>
    <mergeCell ref="B35:D35"/>
    <mergeCell ref="B37:D37"/>
    <mergeCell ref="B40:D40"/>
    <mergeCell ref="B41:D41"/>
    <mergeCell ref="B42:D42"/>
    <mergeCell ref="B43:D43"/>
    <mergeCell ref="A44:D44"/>
    <mergeCell ref="B34:D34"/>
    <mergeCell ref="A38:A39"/>
    <mergeCell ref="A36:A37"/>
    <mergeCell ref="B36:D36"/>
    <mergeCell ref="B38:D38"/>
    <mergeCell ref="B39:D39"/>
    <mergeCell ref="B54:D54"/>
    <mergeCell ref="A47:A51"/>
    <mergeCell ref="B47:D47"/>
    <mergeCell ref="B48:D48"/>
    <mergeCell ref="B49:D49"/>
    <mergeCell ref="B50:D50"/>
    <mergeCell ref="B51:D51"/>
    <mergeCell ref="B53:D53"/>
    <mergeCell ref="B52:D52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排水</vt:lpstr>
      <vt:lpstr>伸缩缝</vt:lpstr>
      <vt:lpstr>人行护栏</vt:lpstr>
      <vt:lpstr>路灯底座</vt:lpstr>
      <vt:lpstr>桥面系工程数量汇总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高海洋</dc:creator>
  <cp:lastModifiedBy>高海洋</cp:lastModifiedBy>
  <dcterms:created xsi:type="dcterms:W3CDTF">2015-06-05T18:19:34Z</dcterms:created>
  <dcterms:modified xsi:type="dcterms:W3CDTF">2023-01-11T10:41:15Z</dcterms:modified>
</cp:coreProperties>
</file>