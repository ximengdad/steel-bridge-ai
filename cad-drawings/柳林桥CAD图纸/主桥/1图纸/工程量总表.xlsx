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work\22年项目\柳林桥\1图纸\"/>
    </mc:Choice>
  </mc:AlternateContent>
  <xr:revisionPtr revIDLastSave="0" documentId="13_ncr:1_{31680B31-B832-42BA-A4D7-F51951B298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" i="1" l="1"/>
  <c r="I49" i="1"/>
  <c r="I39" i="1" l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H18" i="1" l="1"/>
  <c r="J18" i="1" s="1"/>
  <c r="I100" i="1"/>
  <c r="J100" i="1" s="1"/>
  <c r="I91" i="1"/>
  <c r="I85" i="1"/>
  <c r="I90" i="1"/>
  <c r="J90" i="1" s="1"/>
  <c r="I89" i="1"/>
  <c r="J89" i="1" s="1"/>
  <c r="I88" i="1"/>
  <c r="J88" i="1" s="1"/>
  <c r="I87" i="1"/>
  <c r="J87" i="1" s="1"/>
  <c r="I86" i="1"/>
  <c r="J86" i="1" s="1"/>
  <c r="I75" i="1"/>
  <c r="I74" i="1"/>
  <c r="I84" i="1"/>
  <c r="I83" i="1"/>
  <c r="I82" i="1"/>
  <c r="I81" i="1"/>
  <c r="I80" i="1"/>
  <c r="I69" i="1"/>
  <c r="I68" i="1"/>
  <c r="I67" i="1"/>
  <c r="I66" i="1"/>
  <c r="I64" i="1"/>
  <c r="I53" i="1"/>
  <c r="I52" i="1"/>
  <c r="I51" i="1"/>
  <c r="I50" i="1"/>
  <c r="I48" i="1"/>
  <c r="I47" i="1"/>
  <c r="I46" i="1"/>
  <c r="I45" i="1"/>
  <c r="I44" i="1"/>
  <c r="I43" i="1"/>
  <c r="I42" i="1"/>
  <c r="I41" i="1"/>
  <c r="I40" i="1"/>
  <c r="H43" i="1"/>
  <c r="H41" i="1"/>
  <c r="H40" i="1"/>
  <c r="G56" i="1" l="1"/>
  <c r="J56" i="1" s="1"/>
  <c r="G55" i="1"/>
  <c r="J55" i="1" s="1"/>
  <c r="G54" i="1"/>
  <c r="J54" i="1" s="1"/>
  <c r="F76" i="1" l="1"/>
  <c r="F75" i="1"/>
  <c r="F74" i="1"/>
  <c r="F66" i="1"/>
  <c r="F65" i="1"/>
  <c r="F33" i="1"/>
  <c r="F32" i="1"/>
  <c r="J51" i="1" l="1"/>
  <c r="J91" i="1"/>
  <c r="J85" i="1"/>
  <c r="J84" i="1"/>
  <c r="J83" i="1"/>
  <c r="J82" i="1"/>
  <c r="J81" i="1"/>
  <c r="J80" i="1"/>
  <c r="J69" i="1"/>
  <c r="J68" i="1"/>
  <c r="J66" i="1"/>
  <c r="J53" i="1"/>
  <c r="J52" i="1"/>
  <c r="J50" i="1"/>
  <c r="J48" i="1"/>
  <c r="J46" i="1"/>
  <c r="J45" i="1"/>
  <c r="H75" i="1"/>
  <c r="H74" i="1"/>
  <c r="H64" i="1"/>
  <c r="J64" i="1" s="1"/>
  <c r="H62" i="1"/>
  <c r="J62" i="1" s="1"/>
  <c r="H61" i="1"/>
  <c r="J61" i="1" s="1"/>
  <c r="H60" i="1"/>
  <c r="J60" i="1" s="1"/>
  <c r="H59" i="1"/>
  <c r="J59" i="1" s="1"/>
  <c r="H58" i="1"/>
  <c r="J58" i="1" s="1"/>
  <c r="H30" i="1"/>
  <c r="H32" i="1"/>
  <c r="J32" i="1" s="1"/>
  <c r="H31" i="1"/>
  <c r="H29" i="1"/>
  <c r="H28" i="1"/>
  <c r="H27" i="1"/>
  <c r="H26" i="1"/>
  <c r="H25" i="1"/>
  <c r="H24" i="1"/>
  <c r="H23" i="1"/>
  <c r="J23" i="1" s="1"/>
  <c r="H22" i="1"/>
  <c r="H20" i="1"/>
  <c r="H19" i="1"/>
  <c r="J41" i="1" l="1"/>
  <c r="H63" i="1"/>
  <c r="G99" i="1" l="1"/>
  <c r="J99" i="1" s="1"/>
  <c r="G98" i="1"/>
  <c r="J98" i="1" s="1"/>
  <c r="G97" i="1"/>
  <c r="J97" i="1" s="1"/>
  <c r="G96" i="1"/>
  <c r="J96" i="1" s="1"/>
  <c r="G95" i="1"/>
  <c r="J95" i="1" s="1"/>
  <c r="G94" i="1"/>
  <c r="J94" i="1" s="1"/>
  <c r="G93" i="1"/>
  <c r="J93" i="1" s="1"/>
  <c r="G92" i="1"/>
  <c r="J92" i="1" s="1"/>
  <c r="G79" i="1"/>
  <c r="J79" i="1" s="1"/>
  <c r="G78" i="1"/>
  <c r="J78" i="1" s="1"/>
  <c r="G77" i="1"/>
  <c r="J77" i="1" s="1"/>
  <c r="G74" i="1"/>
  <c r="G73" i="1"/>
  <c r="J73" i="1" s="1"/>
  <c r="G67" i="1"/>
  <c r="J67" i="1" s="1"/>
  <c r="G72" i="1"/>
  <c r="J72" i="1" s="1"/>
  <c r="G71" i="1"/>
  <c r="J71" i="1" s="1"/>
  <c r="G70" i="1"/>
  <c r="J70" i="1" s="1"/>
  <c r="G17" i="1"/>
  <c r="J17" i="1" s="1"/>
  <c r="G16" i="1"/>
  <c r="J16" i="1" s="1"/>
  <c r="G15" i="1"/>
  <c r="J15" i="1" s="1"/>
  <c r="G14" i="1"/>
  <c r="J14" i="1" s="1"/>
  <c r="G13" i="1"/>
  <c r="J13" i="1" s="1"/>
  <c r="G12" i="1"/>
  <c r="J12" i="1" s="1"/>
  <c r="G11" i="1"/>
  <c r="J11" i="1" s="1"/>
  <c r="G10" i="1"/>
  <c r="J10" i="1" s="1"/>
  <c r="J44" i="1"/>
  <c r="J42" i="1"/>
  <c r="J43" i="1"/>
  <c r="G57" i="1"/>
  <c r="J57" i="1" s="1"/>
  <c r="G9" i="1"/>
  <c r="J9" i="1" s="1"/>
  <c r="G8" i="1"/>
  <c r="J8" i="1" s="1"/>
  <c r="G7" i="1"/>
  <c r="J7" i="1" s="1"/>
  <c r="G6" i="1"/>
  <c r="J6" i="1" s="1"/>
  <c r="G63" i="1" l="1"/>
  <c r="J76" i="1"/>
  <c r="J75" i="1"/>
  <c r="J74" i="1"/>
  <c r="J65" i="1"/>
  <c r="J47" i="1"/>
  <c r="J33" i="1"/>
  <c r="F31" i="1"/>
  <c r="J31" i="1" s="1"/>
  <c r="F30" i="1"/>
  <c r="J30" i="1" s="1"/>
  <c r="F29" i="1"/>
  <c r="J29" i="1" s="1"/>
  <c r="F28" i="1"/>
  <c r="J28" i="1" s="1"/>
  <c r="F27" i="1"/>
  <c r="J27" i="1" s="1"/>
  <c r="F26" i="1"/>
  <c r="J26" i="1" s="1"/>
  <c r="F25" i="1"/>
  <c r="J25" i="1" s="1"/>
  <c r="F24" i="1"/>
  <c r="J24" i="1" s="1"/>
  <c r="F22" i="1"/>
  <c r="J22" i="1" s="1"/>
  <c r="F21" i="1"/>
  <c r="J21" i="1" s="1"/>
  <c r="F20" i="1"/>
  <c r="J20" i="1" s="1"/>
  <c r="F19" i="1"/>
  <c r="F63" i="1" l="1"/>
  <c r="J19" i="1"/>
  <c r="J63" i="1" l="1"/>
  <c r="J40" i="1"/>
</calcChain>
</file>

<file path=xl/sharedStrings.xml><?xml version="1.0" encoding="utf-8"?>
<sst xmlns="http://schemas.openxmlformats.org/spreadsheetml/2006/main" count="217" uniqueCount="111">
  <si>
    <t>材料名称</t>
  </si>
  <si>
    <t>规格</t>
  </si>
  <si>
    <t>单位</t>
  </si>
  <si>
    <t>密封门</t>
    <phoneticPr fontId="1" type="noConversion"/>
  </si>
  <si>
    <t>合计</t>
    <phoneticPr fontId="1" type="noConversion"/>
  </si>
  <si>
    <t>t=10</t>
    <phoneticPr fontId="1" type="noConversion"/>
  </si>
  <si>
    <t>kg</t>
  </si>
  <si>
    <t>t=12</t>
    <phoneticPr fontId="1" type="noConversion"/>
  </si>
  <si>
    <t>t=14</t>
    <phoneticPr fontId="1" type="noConversion"/>
  </si>
  <si>
    <t>t=16</t>
    <phoneticPr fontId="1" type="noConversion"/>
  </si>
  <si>
    <t>t=20</t>
    <phoneticPr fontId="1" type="noConversion"/>
  </si>
  <si>
    <t>t=24</t>
    <phoneticPr fontId="1" type="noConversion"/>
  </si>
  <si>
    <t>t=28</t>
    <phoneticPr fontId="1" type="noConversion"/>
  </si>
  <si>
    <t>t=32</t>
    <phoneticPr fontId="1" type="noConversion"/>
  </si>
  <si>
    <t>t=36</t>
    <phoneticPr fontId="1" type="noConversion"/>
  </si>
  <si>
    <t>t=40</t>
    <phoneticPr fontId="1" type="noConversion"/>
  </si>
  <si>
    <t>t=42</t>
    <phoneticPr fontId="1" type="noConversion"/>
  </si>
  <si>
    <t>t=50</t>
    <phoneticPr fontId="1" type="noConversion"/>
  </si>
  <si>
    <t>U型肋(t=8)</t>
    <phoneticPr fontId="1" type="noConversion"/>
  </si>
  <si>
    <t>Q235B</t>
    <phoneticPr fontId="1" type="noConversion"/>
  </si>
  <si>
    <t>小计</t>
  </si>
  <si>
    <t>螺栓</t>
    <phoneticPr fontId="1" type="noConversion"/>
  </si>
  <si>
    <t>M24</t>
    <phoneticPr fontId="1" type="noConversion"/>
  </si>
  <si>
    <t>套</t>
    <phoneticPr fontId="1" type="noConversion"/>
  </si>
  <si>
    <t>M22</t>
    <phoneticPr fontId="1" type="noConversion"/>
  </si>
  <si>
    <t>涂装</t>
    <phoneticPr fontId="1" type="noConversion"/>
  </si>
  <si>
    <t>外表面涂装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</si>
  <si>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</si>
  <si>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内表面涂装</t>
    <phoneticPr fontId="1" type="noConversion"/>
  </si>
  <si>
    <t>AY-1690-8-90×12-6.1</t>
  </si>
  <si>
    <t>个</t>
    <phoneticPr fontId="1" type="noConversion"/>
  </si>
  <si>
    <t>上部结构</t>
    <phoneticPr fontId="1" type="noConversion"/>
  </si>
  <si>
    <t>下部结构</t>
    <phoneticPr fontId="1" type="noConversion"/>
  </si>
  <si>
    <t>混凝土</t>
    <phoneticPr fontId="1" type="noConversion"/>
  </si>
  <si>
    <t>C40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</si>
  <si>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</si>
  <si>
    <t>C35</t>
    <phoneticPr fontId="1" type="noConversion"/>
  </si>
  <si>
    <t>C35水下</t>
  </si>
  <si>
    <t>C25封底混凝土</t>
    <phoneticPr fontId="1" type="noConversion"/>
  </si>
  <si>
    <t>1Cr18Ni12</t>
    <phoneticPr fontId="1" type="noConversion"/>
  </si>
  <si>
    <t>t=5</t>
    <phoneticPr fontId="1" type="noConversion"/>
  </si>
  <si>
    <t>t=4</t>
    <phoneticPr fontId="1" type="noConversion"/>
  </si>
  <si>
    <t>t=8</t>
    <phoneticPr fontId="1" type="noConversion"/>
  </si>
  <si>
    <t>钢筋</t>
  </si>
  <si>
    <t>HRB400</t>
  </si>
  <si>
    <t>HPB300</t>
    <phoneticPr fontId="1" type="noConversion"/>
  </si>
  <si>
    <t>12冷轧带肋钢筋网</t>
    <phoneticPr fontId="1" type="noConversion"/>
  </si>
  <si>
    <t>钢筋连接器</t>
    <phoneticPr fontId="1" type="noConversion"/>
  </si>
  <si>
    <t>个</t>
  </si>
  <si>
    <t>M16</t>
    <phoneticPr fontId="1" type="noConversion"/>
  </si>
  <si>
    <t>声测管</t>
  </si>
  <si>
    <t>Q235B</t>
  </si>
  <si>
    <t>φ57×3(mm)</t>
    <phoneticPr fontId="1" type="noConversion"/>
  </si>
  <si>
    <t>铜带</t>
    <phoneticPr fontId="1" type="noConversion"/>
  </si>
  <si>
    <t>4×50</t>
    <phoneticPr fontId="1" type="noConversion"/>
  </si>
  <si>
    <t>m</t>
    <phoneticPr fontId="1" type="noConversion"/>
  </si>
  <si>
    <t>C35混凝土定位块</t>
    <phoneticPr fontId="1" type="noConversion"/>
  </si>
  <si>
    <t>冷却管</t>
    <phoneticPr fontId="1" type="noConversion"/>
  </si>
  <si>
    <t>φ42.3×3.25</t>
    <phoneticPr fontId="1" type="noConversion"/>
  </si>
  <si>
    <t>支座</t>
    <phoneticPr fontId="1" type="noConversion"/>
  </si>
  <si>
    <t>20000单向</t>
  </si>
  <si>
    <t>20000双向</t>
  </si>
  <si>
    <t>27500单向</t>
  </si>
  <si>
    <t>27500双向</t>
  </si>
  <si>
    <t>拱肋</t>
    <phoneticPr fontId="1" type="noConversion"/>
  </si>
  <si>
    <t>t=18</t>
    <phoneticPr fontId="1" type="noConversion"/>
  </si>
  <si>
    <t>t=60</t>
    <phoneticPr fontId="1" type="noConversion"/>
  </si>
  <si>
    <t>t=6</t>
    <phoneticPr fontId="1" type="noConversion"/>
  </si>
  <si>
    <t>30Mn</t>
  </si>
  <si>
    <t>t=282</t>
    <phoneticPr fontId="1" type="noConversion"/>
  </si>
  <si>
    <t>S355N</t>
  </si>
  <si>
    <t>40Cr</t>
  </si>
  <si>
    <t>D200</t>
    <phoneticPr fontId="1" type="noConversion"/>
  </si>
  <si>
    <t>ZG310-570</t>
  </si>
  <si>
    <t>t=110</t>
    <phoneticPr fontId="1" type="noConversion"/>
  </si>
  <si>
    <t>M30</t>
    <phoneticPr fontId="1" type="noConversion"/>
  </si>
  <si>
    <t>桥面系</t>
    <phoneticPr fontId="1" type="noConversion"/>
  </si>
  <si>
    <t>M14</t>
    <phoneticPr fontId="1" type="noConversion"/>
  </si>
  <si>
    <t>M12</t>
    <phoneticPr fontId="1" type="noConversion"/>
  </si>
  <si>
    <t>弯头</t>
    <phoneticPr fontId="1" type="noConversion"/>
  </si>
  <si>
    <t>φ150×150</t>
  </si>
  <si>
    <t>φ377×377</t>
  </si>
  <si>
    <t>三通</t>
    <phoneticPr fontId="1" type="noConversion"/>
  </si>
  <si>
    <t>φ150×150×150</t>
  </si>
  <si>
    <t>φ150×377×377</t>
  </si>
  <si>
    <t>聚酯螺旋排水管</t>
  </si>
  <si>
    <t>法兰伸缩器</t>
    <phoneticPr fontId="1" type="noConversion"/>
  </si>
  <si>
    <t>YSSJA-2法兰限位伸缩器</t>
  </si>
  <si>
    <t>伸缩缝</t>
    <phoneticPr fontId="1" type="noConversion"/>
  </si>
  <si>
    <t>240型</t>
    <phoneticPr fontId="1" type="noConversion"/>
  </si>
  <si>
    <t>m/道</t>
    <phoneticPr fontId="1" type="noConversion"/>
  </si>
  <si>
    <t>t=15</t>
    <phoneticPr fontId="1" type="noConversion"/>
  </si>
  <si>
    <t>φ150×8钢管</t>
    <phoneticPr fontId="1" type="noConversion"/>
  </si>
  <si>
    <t>φ377×8钢管</t>
    <phoneticPr fontId="1" type="noConversion"/>
  </si>
  <si>
    <t>Q235C</t>
    <phoneticPr fontId="1" type="noConversion"/>
  </si>
  <si>
    <t>22500固定</t>
    <phoneticPr fontId="1" type="noConversion"/>
  </si>
  <si>
    <t>22500单向</t>
    <phoneticPr fontId="1" type="noConversion"/>
  </si>
  <si>
    <t>22500双向</t>
    <phoneticPr fontId="1" type="noConversion"/>
  </si>
  <si>
    <t>3000单向(副拱,位于引桥)</t>
    <phoneticPr fontId="1" type="noConversion"/>
  </si>
  <si>
    <t>铺装</t>
    <phoneticPr fontId="1" type="noConversion"/>
  </si>
  <si>
    <t>环氧沥青混合料EA10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</si>
  <si>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/>
    </r>
  </si>
  <si>
    <t>水泥砂浆</t>
    <phoneticPr fontId="1" type="noConversion"/>
  </si>
  <si>
    <t>花岗岩方砖</t>
    <phoneticPr fontId="1" type="noConversion"/>
  </si>
  <si>
    <t>环氧沥青涂层</t>
    <phoneticPr fontId="1" type="noConversion"/>
  </si>
  <si>
    <t>防水层</t>
    <phoneticPr fontId="1" type="noConversion"/>
  </si>
  <si>
    <t>氯丁橡胶止水带</t>
    <phoneticPr fontId="1" type="noConversion"/>
  </si>
  <si>
    <t>50×959</t>
    <phoneticPr fontId="1" type="noConversion"/>
  </si>
  <si>
    <t>Q355C</t>
    <phoneticPr fontId="1" type="noConversion"/>
  </si>
  <si>
    <t>Q355D</t>
    <phoneticPr fontId="1" type="noConversion"/>
  </si>
  <si>
    <t>钢材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</si>
</sst>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_);[Red]\(0.0\)"/>
    <numFmt numFmtId="178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27;&#26725;&#19979;&#37096;&#37197;&#3156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ork\22&#24180;&#39033;&#30446;\&#26611;&#26519;&#26725;\1&#22270;&#32440;\&#21103;&#25329;&#32907;&#33410;&#27573;&#26500;&#36896;.xlsx" TargetMode="External"/><Relationship Id="rId1" Type="http://schemas.openxmlformats.org/officeDocument/2006/relationships/externalLinkPath" Target="&#21103;&#25329;&#32907;&#33410;&#27573;&#26500;&#3689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27;&#26753;&#26753;&#27573;&#26500;&#36896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ork\22&#24180;&#39033;&#30446;\&#26611;&#26519;&#26725;\1&#22270;&#32440;\&#26725;&#38754;&#31995;&#24037;&#31243;&#37327;.xlsx" TargetMode="External"/><Relationship Id="rId1" Type="http://schemas.openxmlformats.org/officeDocument/2006/relationships/externalLinkPath" Target="&#26725;&#38754;&#31995;&#24037;&#31243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承台"/>
      <sheetName val="支座+垫石"/>
      <sheetName val="防雷+墩顶装饰"/>
      <sheetName val="主桥下部数量表"/>
    </sheetNames>
    <sheetDataSet>
      <sheetData sheetId="0"/>
      <sheetData sheetId="1"/>
      <sheetData sheetId="2"/>
      <sheetData sheetId="3">
        <row r="5">
          <cell r="L5">
            <v>473.39648046000002</v>
          </cell>
        </row>
        <row r="6">
          <cell r="L6">
            <v>805.048</v>
          </cell>
        </row>
        <row r="7">
          <cell r="L7">
            <v>3513.1</v>
          </cell>
        </row>
        <row r="8">
          <cell r="L8">
            <v>241.51440000000002</v>
          </cell>
        </row>
        <row r="9">
          <cell r="L9">
            <v>62.800000000000011</v>
          </cell>
        </row>
        <row r="10">
          <cell r="L10">
            <v>978.54960000000005</v>
          </cell>
        </row>
        <row r="11">
          <cell r="L11">
            <v>7587.5069221760004</v>
          </cell>
        </row>
        <row r="12">
          <cell r="L12">
            <v>28807.318955999999</v>
          </cell>
        </row>
        <row r="14">
          <cell r="L14">
            <v>31996.380079999999</v>
          </cell>
        </row>
        <row r="15">
          <cell r="L15">
            <v>91471.892399999997</v>
          </cell>
        </row>
        <row r="16">
          <cell r="L16">
            <v>198927.7</v>
          </cell>
        </row>
        <row r="17">
          <cell r="L17">
            <v>6130.0262400000001</v>
          </cell>
        </row>
        <row r="18">
          <cell r="L18">
            <v>39222.618096000006</v>
          </cell>
        </row>
        <row r="19">
          <cell r="L19">
            <v>2024.9756640000001</v>
          </cell>
        </row>
        <row r="20">
          <cell r="L20">
            <v>45566.711824000005</v>
          </cell>
        </row>
        <row r="22">
          <cell r="L22">
            <v>5715.8407999999999</v>
          </cell>
        </row>
        <row r="23">
          <cell r="L23">
            <v>4256</v>
          </cell>
        </row>
        <row r="24">
          <cell r="L24">
            <v>492</v>
          </cell>
        </row>
        <row r="25">
          <cell r="L25">
            <v>544</v>
          </cell>
        </row>
        <row r="26">
          <cell r="L26">
            <v>32</v>
          </cell>
        </row>
        <row r="27">
          <cell r="L27">
            <v>24162.799999999999</v>
          </cell>
        </row>
        <row r="28">
          <cell r="L28">
            <v>1100.00647624</v>
          </cell>
        </row>
        <row r="29">
          <cell r="L29">
            <v>16</v>
          </cell>
        </row>
        <row r="30">
          <cell r="L30">
            <v>3976</v>
          </cell>
        </row>
        <row r="31">
          <cell r="L31">
            <v>1807.7002</v>
          </cell>
        </row>
        <row r="32">
          <cell r="L32">
            <v>1</v>
          </cell>
        </row>
        <row r="33">
          <cell r="L33">
            <v>1</v>
          </cell>
        </row>
        <row r="34">
          <cell r="L34">
            <v>1</v>
          </cell>
        </row>
        <row r="35">
          <cell r="L35">
            <v>1</v>
          </cell>
        </row>
        <row r="36">
          <cell r="L36">
            <v>1</v>
          </cell>
        </row>
        <row r="37">
          <cell r="L37">
            <v>2</v>
          </cell>
        </row>
        <row r="38">
          <cell r="L38">
            <v>1</v>
          </cell>
        </row>
        <row r="39">
          <cell r="L39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1节段"/>
      <sheetName val="C2节段"/>
      <sheetName val="C3节段"/>
      <sheetName val="C4节段"/>
      <sheetName val="C5节段"/>
      <sheetName val="拱肋吊点"/>
      <sheetName val="装饰板"/>
      <sheetName val="爬梯"/>
      <sheetName val="拱肋数量汇总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N7">
            <v>111311.86057955874</v>
          </cell>
        </row>
        <row r="8">
          <cell r="N8">
            <v>2426.7804000000001</v>
          </cell>
        </row>
        <row r="9">
          <cell r="N9">
            <v>109902.33896843469</v>
          </cell>
        </row>
        <row r="10">
          <cell r="N10">
            <v>255725.38746857599</v>
          </cell>
        </row>
        <row r="11">
          <cell r="N11">
            <v>5595.6502429594202</v>
          </cell>
        </row>
        <row r="12">
          <cell r="N12">
            <v>4381.3857253360002</v>
          </cell>
        </row>
        <row r="13">
          <cell r="N13">
            <v>512165.87889523047</v>
          </cell>
        </row>
        <row r="14">
          <cell r="N14">
            <v>334839.27463021694</v>
          </cell>
        </row>
        <row r="15">
          <cell r="N15">
            <v>235487.33305931138</v>
          </cell>
        </row>
        <row r="16">
          <cell r="N16">
            <v>339143.35142970207</v>
          </cell>
        </row>
        <row r="17">
          <cell r="N17">
            <v>266923.40000000002</v>
          </cell>
        </row>
        <row r="18">
          <cell r="N18">
            <v>6092.9</v>
          </cell>
        </row>
        <row r="19">
          <cell r="N19">
            <v>154830</v>
          </cell>
        </row>
        <row r="20">
          <cell r="N20">
            <v>38724.699999999997</v>
          </cell>
        </row>
        <row r="21">
          <cell r="N21">
            <v>12885.157357227199</v>
          </cell>
        </row>
        <row r="22">
          <cell r="N22">
            <v>22914.790559999998</v>
          </cell>
        </row>
        <row r="23">
          <cell r="N23">
            <v>36935.414652087115</v>
          </cell>
        </row>
        <row r="24">
          <cell r="N24">
            <v>15443.305128363201</v>
          </cell>
        </row>
        <row r="25">
          <cell r="N25">
            <v>5609.1548678016006</v>
          </cell>
        </row>
        <row r="26">
          <cell r="N26">
            <v>3156.6722984880003</v>
          </cell>
        </row>
        <row r="27">
          <cell r="N27">
            <v>1104.8353031520001</v>
          </cell>
        </row>
        <row r="28">
          <cell r="N28">
            <v>3215.674</v>
          </cell>
        </row>
        <row r="30">
          <cell r="N30">
            <v>800</v>
          </cell>
        </row>
        <row r="31">
          <cell r="N31">
            <v>17979.907724129036</v>
          </cell>
        </row>
        <row r="32">
          <cell r="N32">
            <v>39631.093834168336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梁段划分"/>
      <sheetName val="A类梁段"/>
      <sheetName val="B1类梁段"/>
      <sheetName val="B2类梁段"/>
      <sheetName val="C1类梁段"/>
      <sheetName val="C2类梁段"/>
      <sheetName val="结合段拱+连梁"/>
      <sheetName val="临时吊点+匹配件+工地"/>
      <sheetName val="密封门及检查孔"/>
      <sheetName val="主梁工程数量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K3">
            <v>31868.064100000003</v>
          </cell>
        </row>
        <row r="4">
          <cell r="K4">
            <v>696185.45029260986</v>
          </cell>
        </row>
        <row r="5">
          <cell r="K5">
            <v>237040.75945693333</v>
          </cell>
        </row>
        <row r="6">
          <cell r="K6">
            <v>1231149.1572072874</v>
          </cell>
        </row>
        <row r="7">
          <cell r="K7">
            <v>40713.101949774391</v>
          </cell>
        </row>
        <row r="8">
          <cell r="K8">
            <v>136557.39590006619</v>
          </cell>
        </row>
        <row r="9">
          <cell r="K9">
            <v>382736.80069432722</v>
          </cell>
        </row>
        <row r="10">
          <cell r="K10">
            <v>123645.58775663008</v>
          </cell>
        </row>
        <row r="11">
          <cell r="K11">
            <v>178455.60438488677</v>
          </cell>
        </row>
        <row r="12">
          <cell r="K12">
            <v>180689.7000420136</v>
          </cell>
        </row>
        <row r="13">
          <cell r="K13">
            <v>10531.936799999999</v>
          </cell>
        </row>
        <row r="14">
          <cell r="K14">
            <v>56340.605101437999</v>
          </cell>
        </row>
        <row r="15">
          <cell r="K15">
            <v>5631.4279644762</v>
          </cell>
        </row>
        <row r="16">
          <cell r="K16">
            <v>5907.1382884800014</v>
          </cell>
        </row>
        <row r="18">
          <cell r="K18">
            <v>2640</v>
          </cell>
        </row>
        <row r="19">
          <cell r="K19">
            <v>9600</v>
          </cell>
        </row>
        <row r="20">
          <cell r="K20">
            <v>26955.971291227539</v>
          </cell>
        </row>
        <row r="21">
          <cell r="K21">
            <v>21012.155793883067</v>
          </cell>
        </row>
        <row r="22">
          <cell r="K22">
            <v>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排水"/>
      <sheetName val="伸缩缝"/>
      <sheetName val="人行护栏"/>
      <sheetName val="路灯底座"/>
      <sheetName val="桥面系工程数量汇总"/>
    </sheetNames>
    <sheetDataSet>
      <sheetData sheetId="0"/>
      <sheetData sheetId="1"/>
      <sheetData sheetId="2"/>
      <sheetData sheetId="3"/>
      <sheetData sheetId="4">
        <row r="9">
          <cell r="P9">
            <v>41604.456725348304</v>
          </cell>
        </row>
        <row r="10">
          <cell r="P10">
            <v>1366.2372360000002</v>
          </cell>
        </row>
        <row r="11">
          <cell r="P11">
            <v>61387.199999999997</v>
          </cell>
        </row>
        <row r="12">
          <cell r="P12">
            <v>59934.544653644007</v>
          </cell>
        </row>
        <row r="13">
          <cell r="P13">
            <v>22288.5</v>
          </cell>
        </row>
        <row r="14">
          <cell r="P14">
            <v>52426</v>
          </cell>
        </row>
        <row r="15">
          <cell r="P15">
            <v>461.61014399999993</v>
          </cell>
        </row>
        <row r="16">
          <cell r="P16">
            <v>326.93730239999996</v>
          </cell>
        </row>
        <row r="17">
          <cell r="P17">
            <v>4568.7078500000007</v>
          </cell>
        </row>
        <row r="18">
          <cell r="P18">
            <v>1171.5340000000001</v>
          </cell>
        </row>
        <row r="19">
          <cell r="P19">
            <v>408.19999999999993</v>
          </cell>
        </row>
        <row r="20">
          <cell r="P20">
            <v>1070.60184</v>
          </cell>
        </row>
        <row r="21">
          <cell r="P21">
            <v>14725.489767168101</v>
          </cell>
        </row>
        <row r="23">
          <cell r="P23">
            <v>264706.79587715125</v>
          </cell>
        </row>
        <row r="24">
          <cell r="P24">
            <v>1656</v>
          </cell>
        </row>
        <row r="25">
          <cell r="P25">
            <v>2870.4</v>
          </cell>
        </row>
        <row r="26">
          <cell r="P26">
            <v>6900</v>
          </cell>
        </row>
        <row r="27">
          <cell r="P27">
            <v>1048.8</v>
          </cell>
        </row>
        <row r="28">
          <cell r="P28">
            <v>26233.8</v>
          </cell>
        </row>
        <row r="30">
          <cell r="P30">
            <v>64708.19999999999</v>
          </cell>
        </row>
        <row r="31">
          <cell r="P31">
            <v>2484</v>
          </cell>
        </row>
        <row r="32">
          <cell r="P32">
            <v>20</v>
          </cell>
        </row>
        <row r="33">
          <cell r="P33">
            <v>362</v>
          </cell>
        </row>
        <row r="34">
          <cell r="P34">
            <v>4032</v>
          </cell>
        </row>
        <row r="39">
          <cell r="P39">
            <v>13248</v>
          </cell>
        </row>
        <row r="40">
          <cell r="P40">
            <v>82</v>
          </cell>
        </row>
        <row r="41">
          <cell r="P41">
            <v>8</v>
          </cell>
        </row>
        <row r="42">
          <cell r="P42">
            <v>82</v>
          </cell>
        </row>
        <row r="43">
          <cell r="P43">
            <v>82</v>
          </cell>
        </row>
        <row r="44">
          <cell r="P44">
            <v>10.66</v>
          </cell>
        </row>
        <row r="45">
          <cell r="P45">
            <v>5188.9964791031098</v>
          </cell>
        </row>
        <row r="46">
          <cell r="P46">
            <v>3161.0296339013325</v>
          </cell>
        </row>
        <row r="47">
          <cell r="P47">
            <v>4788.3599999999997</v>
          </cell>
        </row>
        <row r="48">
          <cell r="P48">
            <v>962.88</v>
          </cell>
        </row>
        <row r="49">
          <cell r="P49">
            <v>962.88</v>
          </cell>
        </row>
        <row r="50">
          <cell r="P50">
            <v>1426.32</v>
          </cell>
        </row>
        <row r="51">
          <cell r="P51">
            <v>8392.818734479999</v>
          </cell>
        </row>
        <row r="52">
          <cell r="P52">
            <v>4</v>
          </cell>
        </row>
        <row r="53">
          <cell r="P53" t="str">
            <v>49/2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100"/>
  <sheetViews>
    <sheetView tabSelected="1" topLeftCell="A28" workbookViewId="0">
      <selection activeCell="D40" sqref="A40:XFD40"/>
    </sheetView>
  </sheetViews>
  <sheetFormatPr defaultColWidth="8.88671875" defaultRowHeight="13.8" x14ac:dyDescent="0.25"/>
  <cols>
    <col min="1" max="1" width="11.6640625" style="4" customWidth="1"/>
    <col min="2" max="2" width="8.88671875" style="4" customWidth="1"/>
    <col min="3" max="3" width="8.88671875" style="4"/>
    <col min="4" max="4" width="13.77734375" style="4" customWidth="1"/>
    <col min="5" max="5" width="8.88671875" style="4"/>
    <col min="6" max="6" width="12" style="4" customWidth="1"/>
    <col min="7" max="7" width="12.109375" style="4" customWidth="1"/>
    <col min="8" max="8" width="11.44140625" style="4" customWidth="1"/>
    <col min="9" max="9" width="10.88671875" style="4" customWidth="1"/>
    <col min="10" max="10" width="12" style="4" customWidth="1"/>
    <col min="11" max="16384" width="8.88671875" style="4"/>
  </cols>
  <sheetData>
    <row r="5" spans="1:10" x14ac:dyDescent="0.25">
      <c r="A5" s="1" t="s">
        <v>0</v>
      </c>
      <c r="B5" s="16" t="s">
        <v>1</v>
      </c>
      <c r="C5" s="17"/>
      <c r="D5" s="18"/>
      <c r="E5" s="1" t="s">
        <v>2</v>
      </c>
      <c r="F5" s="1" t="s">
        <v>31</v>
      </c>
      <c r="G5" s="1" t="s">
        <v>32</v>
      </c>
      <c r="H5" s="1" t="s">
        <v>64</v>
      </c>
      <c r="I5" s="1" t="s">
        <v>76</v>
      </c>
      <c r="J5" s="2" t="s">
        <v>4</v>
      </c>
    </row>
    <row r="6" spans="1:10" ht="16.2" x14ac:dyDescent="0.25">
      <c r="A6" s="20" t="s">
        <v>33</v>
      </c>
      <c r="B6" s="20" t="s">
        <v>34</v>
      </c>
      <c r="C6" s="19"/>
      <c r="D6" s="19"/>
      <c r="E6" s="1" t="s">
        <v>35</v>
      </c>
      <c r="F6" s="5"/>
      <c r="G6" s="7">
        <f>[1]主桥下部数量表!$L$5</f>
        <v>473.39648046000002</v>
      </c>
      <c r="H6" s="5"/>
      <c r="I6" s="5"/>
      <c r="J6" s="8">
        <f t="shared" ref="J6:J69" si="0">SUM(F6:I6)</f>
        <v>473.39648046000002</v>
      </c>
    </row>
    <row r="7" spans="1:10" ht="16.2" x14ac:dyDescent="0.25">
      <c r="A7" s="20"/>
      <c r="B7" s="20" t="s">
        <v>36</v>
      </c>
      <c r="C7" s="19"/>
      <c r="D7" s="19"/>
      <c r="E7" s="1" t="s">
        <v>35</v>
      </c>
      <c r="F7" s="5"/>
      <c r="G7" s="7">
        <f>[1]主桥下部数量表!$L$6</f>
        <v>805.048</v>
      </c>
      <c r="H7" s="5"/>
      <c r="I7" s="5"/>
      <c r="J7" s="8">
        <f t="shared" si="0"/>
        <v>805.048</v>
      </c>
    </row>
    <row r="8" spans="1:10" ht="16.2" x14ac:dyDescent="0.25">
      <c r="A8" s="19"/>
      <c r="B8" s="20" t="s">
        <v>37</v>
      </c>
      <c r="C8" s="19"/>
      <c r="D8" s="19"/>
      <c r="E8" s="1" t="s">
        <v>35</v>
      </c>
      <c r="F8" s="5"/>
      <c r="G8" s="7">
        <f>[1]主桥下部数量表!$L$7</f>
        <v>3513.1</v>
      </c>
      <c r="H8" s="5"/>
      <c r="I8" s="5"/>
      <c r="J8" s="8">
        <f t="shared" si="0"/>
        <v>3513.1</v>
      </c>
    </row>
    <row r="9" spans="1:10" ht="16.2" x14ac:dyDescent="0.25">
      <c r="A9" s="19"/>
      <c r="B9" s="20" t="s">
        <v>38</v>
      </c>
      <c r="C9" s="19"/>
      <c r="D9" s="19"/>
      <c r="E9" s="1" t="s">
        <v>35</v>
      </c>
      <c r="F9" s="5"/>
      <c r="G9" s="7">
        <f>[1]主桥下部数量表!$L$8</f>
        <v>241.51440000000002</v>
      </c>
      <c r="H9" s="5"/>
      <c r="I9" s="5"/>
      <c r="J9" s="8">
        <f t="shared" si="0"/>
        <v>241.51440000000002</v>
      </c>
    </row>
    <row r="10" spans="1:10" x14ac:dyDescent="0.25">
      <c r="A10" s="21" t="s">
        <v>43</v>
      </c>
      <c r="B10" s="23" t="s">
        <v>44</v>
      </c>
      <c r="C10" s="24"/>
      <c r="D10" s="3">
        <v>32</v>
      </c>
      <c r="E10" s="1" t="s">
        <v>6</v>
      </c>
      <c r="F10" s="5"/>
      <c r="G10" s="7">
        <f>[1]主桥下部数量表!$L$14</f>
        <v>31996.380079999999</v>
      </c>
      <c r="H10" s="5"/>
      <c r="I10" s="5"/>
      <c r="J10" s="8">
        <f t="shared" si="0"/>
        <v>31996.380079999999</v>
      </c>
    </row>
    <row r="11" spans="1:10" x14ac:dyDescent="0.25">
      <c r="A11" s="29"/>
      <c r="B11" s="25"/>
      <c r="C11" s="26"/>
      <c r="D11" s="3">
        <v>28</v>
      </c>
      <c r="E11" s="1" t="s">
        <v>6</v>
      </c>
      <c r="F11" s="5"/>
      <c r="G11" s="7">
        <f>[1]主桥下部数量表!$L$15</f>
        <v>91471.892399999997</v>
      </c>
      <c r="H11" s="5"/>
      <c r="I11" s="5"/>
      <c r="J11" s="8">
        <f t="shared" si="0"/>
        <v>91471.892399999997</v>
      </c>
    </row>
    <row r="12" spans="1:10" x14ac:dyDescent="0.25">
      <c r="A12" s="29"/>
      <c r="B12" s="25"/>
      <c r="C12" s="26"/>
      <c r="D12" s="3">
        <v>25</v>
      </c>
      <c r="E12" s="1" t="s">
        <v>6</v>
      </c>
      <c r="F12" s="5"/>
      <c r="G12" s="7">
        <f>[1]主桥下部数量表!$L$16</f>
        <v>198927.7</v>
      </c>
      <c r="H12" s="5"/>
      <c r="I12" s="5"/>
      <c r="J12" s="8">
        <f t="shared" si="0"/>
        <v>198927.7</v>
      </c>
    </row>
    <row r="13" spans="1:10" x14ac:dyDescent="0.25">
      <c r="A13" s="29"/>
      <c r="B13" s="25"/>
      <c r="C13" s="26"/>
      <c r="D13" s="3">
        <v>20</v>
      </c>
      <c r="E13" s="1" t="s">
        <v>6</v>
      </c>
      <c r="F13" s="5"/>
      <c r="G13" s="7">
        <f>[1]主桥下部数量表!$L$17</f>
        <v>6130.0262400000001</v>
      </c>
      <c r="H13" s="5"/>
      <c r="I13" s="5"/>
      <c r="J13" s="8">
        <f t="shared" si="0"/>
        <v>6130.0262400000001</v>
      </c>
    </row>
    <row r="14" spans="1:10" x14ac:dyDescent="0.25">
      <c r="A14" s="29"/>
      <c r="B14" s="25"/>
      <c r="C14" s="26"/>
      <c r="D14" s="3">
        <v>16</v>
      </c>
      <c r="E14" s="1" t="s">
        <v>6</v>
      </c>
      <c r="F14" s="5"/>
      <c r="G14" s="7">
        <f>[1]主桥下部数量表!$L$18</f>
        <v>39222.618096000006</v>
      </c>
      <c r="H14" s="5"/>
      <c r="I14" s="5"/>
      <c r="J14" s="8">
        <f t="shared" si="0"/>
        <v>39222.618096000006</v>
      </c>
    </row>
    <row r="15" spans="1:10" x14ac:dyDescent="0.25">
      <c r="A15" s="29"/>
      <c r="B15" s="25"/>
      <c r="C15" s="26"/>
      <c r="D15" s="3">
        <v>12</v>
      </c>
      <c r="E15" s="1" t="s">
        <v>6</v>
      </c>
      <c r="F15" s="5"/>
      <c r="G15" s="7">
        <f>[1]主桥下部数量表!$L$19</f>
        <v>2024.9756640000001</v>
      </c>
      <c r="H15" s="5"/>
      <c r="I15" s="5"/>
      <c r="J15" s="8">
        <f t="shared" si="0"/>
        <v>2024.9756640000001</v>
      </c>
    </row>
    <row r="16" spans="1:10" x14ac:dyDescent="0.25">
      <c r="A16" s="22"/>
      <c r="B16" s="20" t="s">
        <v>45</v>
      </c>
      <c r="C16" s="20"/>
      <c r="D16" s="3">
        <v>10</v>
      </c>
      <c r="E16" s="1" t="s">
        <v>6</v>
      </c>
      <c r="F16" s="5"/>
      <c r="G16" s="7">
        <f>[1]主桥下部数量表!$L$20</f>
        <v>45566.711824000005</v>
      </c>
      <c r="H16" s="5"/>
      <c r="I16" s="5"/>
      <c r="J16" s="8">
        <f t="shared" si="0"/>
        <v>45566.711824000005</v>
      </c>
    </row>
    <row r="17" spans="1:10" x14ac:dyDescent="0.25">
      <c r="A17" s="20" t="s">
        <v>46</v>
      </c>
      <c r="B17" s="19"/>
      <c r="C17" s="19"/>
      <c r="D17" s="19"/>
      <c r="E17" s="1" t="s">
        <v>6</v>
      </c>
      <c r="F17" s="5"/>
      <c r="G17" s="7">
        <f>[1]主桥下部数量表!$L$22</f>
        <v>5715.8407999999999</v>
      </c>
      <c r="H17" s="5"/>
      <c r="I17" s="5"/>
      <c r="J17" s="8">
        <f t="shared" si="0"/>
        <v>5715.8407999999999</v>
      </c>
    </row>
    <row r="18" spans="1:10" x14ac:dyDescent="0.25">
      <c r="A18" s="29" t="s">
        <v>110</v>
      </c>
      <c r="B18" s="25" t="s">
        <v>109</v>
      </c>
      <c r="C18" s="26"/>
      <c r="D18" s="3" t="s">
        <v>42</v>
      </c>
      <c r="E18" s="1" t="s">
        <v>6</v>
      </c>
      <c r="F18" s="5"/>
      <c r="G18" s="5"/>
      <c r="H18" s="7">
        <f>[2]拱肋数量汇总表!$N$7</f>
        <v>111311.86057955874</v>
      </c>
      <c r="I18" s="7"/>
      <c r="J18" s="8">
        <f t="shared" si="0"/>
        <v>111311.86057955874</v>
      </c>
    </row>
    <row r="19" spans="1:10" x14ac:dyDescent="0.25">
      <c r="A19" s="29"/>
      <c r="B19" s="25"/>
      <c r="C19" s="26"/>
      <c r="D19" s="3" t="s">
        <v>5</v>
      </c>
      <c r="E19" s="1" t="s">
        <v>6</v>
      </c>
      <c r="F19" s="7">
        <f>[3]主梁工程数量表!$K$3</f>
        <v>31868.064100000003</v>
      </c>
      <c r="G19" s="5"/>
      <c r="H19" s="7">
        <f>[2]拱肋数量汇总表!$N$8</f>
        <v>2426.7804000000001</v>
      </c>
      <c r="I19" s="7"/>
      <c r="J19" s="8">
        <f t="shared" si="0"/>
        <v>34294.844500000007</v>
      </c>
    </row>
    <row r="20" spans="1:10" x14ac:dyDescent="0.25">
      <c r="A20" s="29"/>
      <c r="B20" s="25"/>
      <c r="C20" s="26"/>
      <c r="D20" s="3" t="s">
        <v>7</v>
      </c>
      <c r="E20" s="1" t="s">
        <v>6</v>
      </c>
      <c r="F20" s="7">
        <f>[3]主梁工程数量表!$K$4</f>
        <v>696185.45029260986</v>
      </c>
      <c r="G20" s="6"/>
      <c r="H20" s="8">
        <f>[2]拱肋数量汇总表!$N$9</f>
        <v>109902.33896843469</v>
      </c>
      <c r="I20" s="8"/>
      <c r="J20" s="8">
        <f t="shared" si="0"/>
        <v>806087.78926104459</v>
      </c>
    </row>
    <row r="21" spans="1:10" x14ac:dyDescent="0.25">
      <c r="A21" s="29"/>
      <c r="B21" s="25"/>
      <c r="C21" s="26"/>
      <c r="D21" s="3" t="s">
        <v>8</v>
      </c>
      <c r="E21" s="1" t="s">
        <v>6</v>
      </c>
      <c r="F21" s="7">
        <f>[3]主梁工程数量表!$K$5</f>
        <v>237040.75945693333</v>
      </c>
      <c r="G21" s="6"/>
      <c r="H21" s="8"/>
      <c r="I21" s="8"/>
      <c r="J21" s="8">
        <f t="shared" si="0"/>
        <v>237040.75945693333</v>
      </c>
    </row>
    <row r="22" spans="1:10" x14ac:dyDescent="0.25">
      <c r="A22" s="29"/>
      <c r="B22" s="25"/>
      <c r="C22" s="26"/>
      <c r="D22" s="3" t="s">
        <v>9</v>
      </c>
      <c r="E22" s="1" t="s">
        <v>6</v>
      </c>
      <c r="F22" s="7">
        <f>[3]主梁工程数量表!$K$6</f>
        <v>1231149.1572072874</v>
      </c>
      <c r="G22" s="6"/>
      <c r="H22" s="8">
        <f>[2]拱肋数量汇总表!$N$10</f>
        <v>255725.38746857599</v>
      </c>
      <c r="I22" s="8"/>
      <c r="J22" s="8">
        <f t="shared" si="0"/>
        <v>1486874.5446758633</v>
      </c>
    </row>
    <row r="23" spans="1:10" x14ac:dyDescent="0.25">
      <c r="A23" s="29"/>
      <c r="B23" s="25"/>
      <c r="C23" s="26"/>
      <c r="D23" s="3" t="s">
        <v>65</v>
      </c>
      <c r="E23" s="1" t="s">
        <v>6</v>
      </c>
      <c r="F23" s="7"/>
      <c r="G23" s="6"/>
      <c r="H23" s="8">
        <f>[2]拱肋数量汇总表!$N$11</f>
        <v>5595.6502429594202</v>
      </c>
      <c r="I23" s="8"/>
      <c r="J23" s="8">
        <f t="shared" si="0"/>
        <v>5595.6502429594202</v>
      </c>
    </row>
    <row r="24" spans="1:10" x14ac:dyDescent="0.25">
      <c r="A24" s="29"/>
      <c r="B24" s="25"/>
      <c r="C24" s="26"/>
      <c r="D24" s="3" t="s">
        <v>10</v>
      </c>
      <c r="E24" s="1" t="s">
        <v>6</v>
      </c>
      <c r="F24" s="7">
        <f>[3]主梁工程数量表!$K$7</f>
        <v>40713.101949774391</v>
      </c>
      <c r="G24" s="6"/>
      <c r="H24" s="8">
        <f>[2]拱肋数量汇总表!$N$12</f>
        <v>4381.3857253360002</v>
      </c>
      <c r="I24" s="8"/>
      <c r="J24" s="8">
        <f t="shared" si="0"/>
        <v>45094.487675110387</v>
      </c>
    </row>
    <row r="25" spans="1:10" x14ac:dyDescent="0.25">
      <c r="A25" s="29"/>
      <c r="B25" s="25"/>
      <c r="C25" s="26"/>
      <c r="D25" s="3" t="s">
        <v>11</v>
      </c>
      <c r="E25" s="1" t="s">
        <v>6</v>
      </c>
      <c r="F25" s="7">
        <f>[3]主梁工程数量表!$K$8</f>
        <v>136557.39590006619</v>
      </c>
      <c r="G25" s="6"/>
      <c r="H25" s="8">
        <f>[2]拱肋数量汇总表!$N$13</f>
        <v>512165.87889523047</v>
      </c>
      <c r="I25" s="8"/>
      <c r="J25" s="8">
        <f t="shared" si="0"/>
        <v>648723.2747952966</v>
      </c>
    </row>
    <row r="26" spans="1:10" x14ac:dyDescent="0.25">
      <c r="A26" s="29"/>
      <c r="B26" s="25"/>
      <c r="C26" s="26"/>
      <c r="D26" s="3" t="s">
        <v>12</v>
      </c>
      <c r="E26" s="1" t="s">
        <v>6</v>
      </c>
      <c r="F26" s="7">
        <f>[3]主梁工程数量表!$K$9</f>
        <v>382736.80069432722</v>
      </c>
      <c r="G26" s="6"/>
      <c r="H26" s="8">
        <f>[2]拱肋数量汇总表!$N$14</f>
        <v>334839.27463021694</v>
      </c>
      <c r="I26" s="8"/>
      <c r="J26" s="8">
        <f t="shared" si="0"/>
        <v>717576.07532454422</v>
      </c>
    </row>
    <row r="27" spans="1:10" x14ac:dyDescent="0.25">
      <c r="A27" s="29"/>
      <c r="B27" s="25"/>
      <c r="C27" s="26"/>
      <c r="D27" s="3" t="s">
        <v>13</v>
      </c>
      <c r="E27" s="1" t="s">
        <v>6</v>
      </c>
      <c r="F27" s="7">
        <f>[3]主梁工程数量表!$K$10</f>
        <v>123645.58775663008</v>
      </c>
      <c r="G27" s="6"/>
      <c r="H27" s="8">
        <f>[2]拱肋数量汇总表!$N$15</f>
        <v>235487.33305931138</v>
      </c>
      <c r="I27" s="8"/>
      <c r="J27" s="8">
        <f t="shared" si="0"/>
        <v>359132.92081594147</v>
      </c>
    </row>
    <row r="28" spans="1:10" x14ac:dyDescent="0.25">
      <c r="A28" s="29"/>
      <c r="B28" s="25"/>
      <c r="C28" s="26"/>
      <c r="D28" s="3" t="s">
        <v>14</v>
      </c>
      <c r="E28" s="1" t="s">
        <v>6</v>
      </c>
      <c r="F28" s="7">
        <f>[3]主梁工程数量表!$K$11</f>
        <v>178455.60438488677</v>
      </c>
      <c r="G28" s="6"/>
      <c r="H28" s="8">
        <f>[2]拱肋数量汇总表!$N$16</f>
        <v>339143.35142970207</v>
      </c>
      <c r="I28" s="8"/>
      <c r="J28" s="8">
        <f t="shared" si="0"/>
        <v>517598.95581458881</v>
      </c>
    </row>
    <row r="29" spans="1:10" x14ac:dyDescent="0.25">
      <c r="A29" s="29"/>
      <c r="B29" s="25"/>
      <c r="C29" s="26"/>
      <c r="D29" s="3" t="s">
        <v>15</v>
      </c>
      <c r="E29" s="1" t="s">
        <v>6</v>
      </c>
      <c r="F29" s="7">
        <f>[3]主梁工程数量表!$K$12</f>
        <v>180689.7000420136</v>
      </c>
      <c r="G29" s="6"/>
      <c r="H29" s="8">
        <f>[2]拱肋数量汇总表!$N$17</f>
        <v>266923.40000000002</v>
      </c>
      <c r="I29" s="8"/>
      <c r="J29" s="8">
        <f t="shared" si="0"/>
        <v>447613.10004201363</v>
      </c>
    </row>
    <row r="30" spans="1:10" x14ac:dyDescent="0.25">
      <c r="A30" s="29"/>
      <c r="B30" s="25"/>
      <c r="C30" s="26"/>
      <c r="D30" s="3" t="s">
        <v>16</v>
      </c>
      <c r="E30" s="1" t="s">
        <v>6</v>
      </c>
      <c r="F30" s="7">
        <f>[3]主梁工程数量表!$K$13</f>
        <v>10531.936799999999</v>
      </c>
      <c r="G30" s="6"/>
      <c r="H30" s="8">
        <f>[2]拱肋数量汇总表!$N$18</f>
        <v>6092.9</v>
      </c>
      <c r="I30" s="8"/>
      <c r="J30" s="8">
        <f t="shared" si="0"/>
        <v>16624.836799999997</v>
      </c>
    </row>
    <row r="31" spans="1:10" x14ac:dyDescent="0.25">
      <c r="A31" s="29"/>
      <c r="B31" s="25"/>
      <c r="C31" s="26"/>
      <c r="D31" s="3" t="s">
        <v>17</v>
      </c>
      <c r="E31" s="1" t="s">
        <v>6</v>
      </c>
      <c r="F31" s="7">
        <f>[3]主梁工程数量表!$K$14</f>
        <v>56340.605101437999</v>
      </c>
      <c r="G31" s="6"/>
      <c r="H31" s="8">
        <f>[2]拱肋数量汇总表!$N$19</f>
        <v>154830</v>
      </c>
      <c r="I31" s="8"/>
      <c r="J31" s="8">
        <f t="shared" si="0"/>
        <v>211170.60510143801</v>
      </c>
    </row>
    <row r="32" spans="1:10" x14ac:dyDescent="0.25">
      <c r="A32" s="29"/>
      <c r="B32" s="25"/>
      <c r="C32" s="26"/>
      <c r="D32" s="3" t="s">
        <v>66</v>
      </c>
      <c r="E32" s="1" t="s">
        <v>6</v>
      </c>
      <c r="F32" s="7">
        <f>[3]主梁工程数量表!$K$15</f>
        <v>5631.4279644762</v>
      </c>
      <c r="G32" s="6"/>
      <c r="H32" s="8">
        <f>[2]拱肋数量汇总表!$N$20</f>
        <v>38724.699999999997</v>
      </c>
      <c r="I32" s="6"/>
      <c r="J32" s="8">
        <f t="shared" si="0"/>
        <v>44356.127964476196</v>
      </c>
    </row>
    <row r="33" spans="1:10" ht="16.2" customHeight="1" x14ac:dyDescent="0.25">
      <c r="A33" s="29"/>
      <c r="B33" s="27"/>
      <c r="C33" s="28"/>
      <c r="D33" s="3" t="s">
        <v>18</v>
      </c>
      <c r="E33" s="1" t="s">
        <v>6</v>
      </c>
      <c r="F33" s="7">
        <f>[3]主梁工程数量表!$K$16</f>
        <v>5907.1382884800014</v>
      </c>
      <c r="G33" s="6"/>
      <c r="H33" s="6"/>
      <c r="I33" s="6"/>
      <c r="J33" s="8">
        <f t="shared" si="0"/>
        <v>5907.1382884800014</v>
      </c>
    </row>
    <row r="34" spans="1:10" ht="16.2" customHeight="1" x14ac:dyDescent="0.25">
      <c r="A34" s="29"/>
      <c r="B34" s="23" t="s">
        <v>108</v>
      </c>
      <c r="C34" s="24"/>
      <c r="D34" s="3" t="s">
        <v>40</v>
      </c>
      <c r="E34" s="1" t="s">
        <v>6</v>
      </c>
      <c r="F34" s="7"/>
      <c r="G34" s="6"/>
      <c r="H34" s="6"/>
      <c r="I34" s="8">
        <f>[4]桥面系工程数量汇总!$P$23</f>
        <v>264706.79587715125</v>
      </c>
      <c r="J34" s="8">
        <f t="shared" si="0"/>
        <v>264706.79587715125</v>
      </c>
    </row>
    <row r="35" spans="1:10" ht="16.2" customHeight="1" x14ac:dyDescent="0.25">
      <c r="A35" s="29"/>
      <c r="B35" s="25"/>
      <c r="C35" s="26"/>
      <c r="D35" s="3" t="s">
        <v>42</v>
      </c>
      <c r="E35" s="1" t="s">
        <v>6</v>
      </c>
      <c r="F35" s="7"/>
      <c r="G35" s="6"/>
      <c r="H35" s="6"/>
      <c r="I35" s="8">
        <f>[4]桥面系工程数量汇总!$P$24</f>
        <v>1656</v>
      </c>
      <c r="J35" s="8">
        <f t="shared" si="0"/>
        <v>1656</v>
      </c>
    </row>
    <row r="36" spans="1:10" ht="16.2" customHeight="1" x14ac:dyDescent="0.25">
      <c r="A36" s="29"/>
      <c r="B36" s="25"/>
      <c r="C36" s="26"/>
      <c r="D36" s="3" t="s">
        <v>5</v>
      </c>
      <c r="E36" s="1" t="s">
        <v>6</v>
      </c>
      <c r="F36" s="7"/>
      <c r="G36" s="6"/>
      <c r="H36" s="6"/>
      <c r="I36" s="8">
        <f>[4]桥面系工程数量汇总!$P$25</f>
        <v>2870.4</v>
      </c>
      <c r="J36" s="8">
        <f t="shared" si="0"/>
        <v>2870.4</v>
      </c>
    </row>
    <row r="37" spans="1:10" ht="16.2" customHeight="1" x14ac:dyDescent="0.25">
      <c r="A37" s="29"/>
      <c r="B37" s="25"/>
      <c r="C37" s="26"/>
      <c r="D37" s="3" t="s">
        <v>7</v>
      </c>
      <c r="E37" s="1" t="s">
        <v>6</v>
      </c>
      <c r="F37" s="7"/>
      <c r="G37" s="6"/>
      <c r="H37" s="6"/>
      <c r="I37" s="8">
        <f>[4]桥面系工程数量汇总!$P$26</f>
        <v>6900</v>
      </c>
      <c r="J37" s="8">
        <f t="shared" si="0"/>
        <v>6900</v>
      </c>
    </row>
    <row r="38" spans="1:10" ht="16.2" customHeight="1" x14ac:dyDescent="0.25">
      <c r="A38" s="29"/>
      <c r="B38" s="25"/>
      <c r="C38" s="26"/>
      <c r="D38" s="3" t="s">
        <v>8</v>
      </c>
      <c r="E38" s="1" t="s">
        <v>6</v>
      </c>
      <c r="F38" s="7"/>
      <c r="G38" s="6"/>
      <c r="H38" s="6"/>
      <c r="I38" s="8">
        <f>[4]桥面系工程数量汇总!$P$27</f>
        <v>1048.8</v>
      </c>
      <c r="J38" s="8">
        <f t="shared" si="0"/>
        <v>1048.8</v>
      </c>
    </row>
    <row r="39" spans="1:10" ht="16.2" customHeight="1" x14ac:dyDescent="0.25">
      <c r="A39" s="29"/>
      <c r="B39" s="27"/>
      <c r="C39" s="28"/>
      <c r="D39" s="3" t="s">
        <v>17</v>
      </c>
      <c r="E39" s="1" t="s">
        <v>6</v>
      </c>
      <c r="F39" s="7"/>
      <c r="G39" s="6"/>
      <c r="H39" s="6"/>
      <c r="I39" s="8">
        <f>[4]桥面系工程数量汇总!$P$28</f>
        <v>26233.8</v>
      </c>
      <c r="J39" s="8">
        <f t="shared" si="0"/>
        <v>26233.8</v>
      </c>
    </row>
    <row r="40" spans="1:10" x14ac:dyDescent="0.25">
      <c r="A40" s="29"/>
      <c r="B40" s="20" t="s">
        <v>19</v>
      </c>
      <c r="C40" s="20"/>
      <c r="D40" s="3" t="s">
        <v>41</v>
      </c>
      <c r="E40" s="1" t="s">
        <v>6</v>
      </c>
      <c r="F40" s="7"/>
      <c r="G40" s="8"/>
      <c r="H40" s="8">
        <f>[2]拱肋数量汇总表!$N$21</f>
        <v>12885.157357227199</v>
      </c>
      <c r="I40" s="8">
        <f>[4]桥面系工程数量汇总!$P$9</f>
        <v>41604.456725348304</v>
      </c>
      <c r="J40" s="8">
        <f t="shared" si="0"/>
        <v>54489.614082575499</v>
      </c>
    </row>
    <row r="41" spans="1:10" x14ac:dyDescent="0.25">
      <c r="A41" s="29"/>
      <c r="B41" s="20"/>
      <c r="C41" s="20"/>
      <c r="D41" s="3" t="s">
        <v>67</v>
      </c>
      <c r="E41" s="1" t="s">
        <v>6</v>
      </c>
      <c r="F41" s="7"/>
      <c r="G41" s="8"/>
      <c r="H41" s="8">
        <f>[2]拱肋数量汇总表!$N$22</f>
        <v>22914.790559999998</v>
      </c>
      <c r="I41" s="8">
        <f>[4]桥面系工程数量汇总!$P$10</f>
        <v>1366.2372360000002</v>
      </c>
      <c r="J41" s="8">
        <f t="shared" si="0"/>
        <v>24281.027795999998</v>
      </c>
    </row>
    <row r="42" spans="1:10" x14ac:dyDescent="0.25">
      <c r="A42" s="29"/>
      <c r="B42" s="20"/>
      <c r="C42" s="20"/>
      <c r="D42" s="3" t="s">
        <v>42</v>
      </c>
      <c r="E42" s="1" t="s">
        <v>6</v>
      </c>
      <c r="F42" s="7"/>
      <c r="G42" s="8"/>
      <c r="H42" s="8"/>
      <c r="I42" s="8">
        <f>[4]桥面系工程数量汇总!$P$11</f>
        <v>61387.199999999997</v>
      </c>
      <c r="J42" s="8">
        <f t="shared" si="0"/>
        <v>61387.199999999997</v>
      </c>
    </row>
    <row r="43" spans="1:10" x14ac:dyDescent="0.25">
      <c r="A43" s="29"/>
      <c r="B43" s="20"/>
      <c r="C43" s="20"/>
      <c r="D43" s="3" t="s">
        <v>5</v>
      </c>
      <c r="E43" s="1" t="s">
        <v>6</v>
      </c>
      <c r="F43" s="7"/>
      <c r="G43" s="8"/>
      <c r="H43" s="8">
        <f>[2]拱肋数量汇总表!$N$23</f>
        <v>36935.414652087115</v>
      </c>
      <c r="I43" s="8">
        <f>[4]桥面系工程数量汇总!$P$12</f>
        <v>59934.544653644007</v>
      </c>
      <c r="J43" s="8">
        <f t="shared" si="0"/>
        <v>96869.959305731114</v>
      </c>
    </row>
    <row r="44" spans="1:10" x14ac:dyDescent="0.25">
      <c r="A44" s="29"/>
      <c r="B44" s="20"/>
      <c r="C44" s="20"/>
      <c r="D44" s="3" t="s">
        <v>7</v>
      </c>
      <c r="E44" s="1" t="s">
        <v>6</v>
      </c>
      <c r="F44" s="7"/>
      <c r="G44" s="8"/>
      <c r="H44" s="8"/>
      <c r="I44" s="8">
        <f>[4]桥面系工程数量汇总!$P$13</f>
        <v>22288.5</v>
      </c>
      <c r="J44" s="8">
        <f t="shared" si="0"/>
        <v>22288.5</v>
      </c>
    </row>
    <row r="45" spans="1:10" x14ac:dyDescent="0.25">
      <c r="A45" s="29"/>
      <c r="B45" s="20"/>
      <c r="C45" s="20"/>
      <c r="D45" s="3" t="s">
        <v>8</v>
      </c>
      <c r="E45" s="1" t="s">
        <v>6</v>
      </c>
      <c r="F45" s="7"/>
      <c r="G45" s="8"/>
      <c r="H45" s="8"/>
      <c r="I45" s="8">
        <f>[4]桥面系工程数量汇总!$P$14</f>
        <v>52426</v>
      </c>
      <c r="J45" s="8">
        <f t="shared" si="0"/>
        <v>52426</v>
      </c>
    </row>
    <row r="46" spans="1:10" x14ac:dyDescent="0.25">
      <c r="A46" s="29"/>
      <c r="B46" s="20"/>
      <c r="C46" s="20"/>
      <c r="D46" s="3" t="s">
        <v>91</v>
      </c>
      <c r="E46" s="1" t="s">
        <v>6</v>
      </c>
      <c r="F46" s="7"/>
      <c r="G46" s="8"/>
      <c r="H46" s="8"/>
      <c r="I46" s="8">
        <f>[4]桥面系工程数量汇总!$P$15</f>
        <v>461.61014399999993</v>
      </c>
      <c r="J46" s="8">
        <f t="shared" si="0"/>
        <v>461.61014399999993</v>
      </c>
    </row>
    <row r="47" spans="1:10" x14ac:dyDescent="0.25">
      <c r="A47" s="29"/>
      <c r="B47" s="20"/>
      <c r="C47" s="20"/>
      <c r="D47" s="3" t="s">
        <v>9</v>
      </c>
      <c r="E47" s="1" t="s">
        <v>6</v>
      </c>
      <c r="F47" s="7"/>
      <c r="G47" s="8"/>
      <c r="H47" s="8"/>
      <c r="I47" s="8">
        <f>[4]桥面系工程数量汇总!$P$16</f>
        <v>326.93730239999996</v>
      </c>
      <c r="J47" s="8">
        <f t="shared" si="0"/>
        <v>326.93730239999996</v>
      </c>
    </row>
    <row r="48" spans="1:10" x14ac:dyDescent="0.25">
      <c r="A48" s="29"/>
      <c r="B48" s="20"/>
      <c r="C48" s="20"/>
      <c r="D48" s="3" t="s">
        <v>10</v>
      </c>
      <c r="E48" s="1" t="s">
        <v>6</v>
      </c>
      <c r="F48" s="7"/>
      <c r="G48" s="8"/>
      <c r="H48" s="8"/>
      <c r="I48" s="8">
        <f>[4]桥面系工程数量汇总!$P$17</f>
        <v>4568.7078500000007</v>
      </c>
      <c r="J48" s="8">
        <f t="shared" si="0"/>
        <v>4568.7078500000007</v>
      </c>
    </row>
    <row r="49" spans="1:10" x14ac:dyDescent="0.25">
      <c r="A49" s="29"/>
      <c r="B49" s="20"/>
      <c r="C49" s="20"/>
      <c r="D49" s="3" t="s">
        <v>12</v>
      </c>
      <c r="E49" s="1" t="s">
        <v>6</v>
      </c>
      <c r="F49" s="7"/>
      <c r="G49" s="8"/>
      <c r="H49" s="8"/>
      <c r="I49" s="8">
        <f>[4]桥面系工程数量汇总!$P$18</f>
        <v>1171.5340000000001</v>
      </c>
      <c r="J49" s="8">
        <f t="shared" si="0"/>
        <v>1171.5340000000001</v>
      </c>
    </row>
    <row r="50" spans="1:10" x14ac:dyDescent="0.25">
      <c r="A50" s="29"/>
      <c r="B50" s="20"/>
      <c r="C50" s="20"/>
      <c r="D50" s="3" t="s">
        <v>15</v>
      </c>
      <c r="E50" s="1" t="s">
        <v>6</v>
      </c>
      <c r="F50" s="7"/>
      <c r="G50" s="8"/>
      <c r="H50" s="8"/>
      <c r="I50" s="8">
        <f>[4]桥面系工程数量汇总!$P$18</f>
        <v>1171.5340000000001</v>
      </c>
      <c r="J50" s="8">
        <f t="shared" si="0"/>
        <v>1171.5340000000001</v>
      </c>
    </row>
    <row r="51" spans="1:10" x14ac:dyDescent="0.25">
      <c r="A51" s="29"/>
      <c r="B51" s="20"/>
      <c r="C51" s="20"/>
      <c r="D51" s="3" t="s">
        <v>17</v>
      </c>
      <c r="E51" s="1" t="s">
        <v>6</v>
      </c>
      <c r="F51" s="7"/>
      <c r="G51" s="8"/>
      <c r="H51" s="8"/>
      <c r="I51" s="8">
        <f>[4]桥面系工程数量汇总!$P$19</f>
        <v>408.19999999999993</v>
      </c>
      <c r="J51" s="8">
        <f t="shared" si="0"/>
        <v>408.19999999999993</v>
      </c>
    </row>
    <row r="52" spans="1:10" x14ac:dyDescent="0.25">
      <c r="A52" s="29"/>
      <c r="B52" s="20"/>
      <c r="C52" s="20"/>
      <c r="D52" s="3" t="s">
        <v>92</v>
      </c>
      <c r="E52" s="1" t="s">
        <v>6</v>
      </c>
      <c r="F52" s="7"/>
      <c r="G52" s="8"/>
      <c r="H52" s="8"/>
      <c r="I52" s="8">
        <f>[4]桥面系工程数量汇总!$P$20</f>
        <v>1070.60184</v>
      </c>
      <c r="J52" s="8">
        <f t="shared" si="0"/>
        <v>1070.60184</v>
      </c>
    </row>
    <row r="53" spans="1:10" x14ac:dyDescent="0.25">
      <c r="A53" s="29"/>
      <c r="B53" s="20"/>
      <c r="C53" s="20"/>
      <c r="D53" s="3" t="s">
        <v>93</v>
      </c>
      <c r="E53" s="1" t="s">
        <v>6</v>
      </c>
      <c r="F53" s="7"/>
      <c r="G53" s="8"/>
      <c r="H53" s="8"/>
      <c r="I53" s="8">
        <f>[4]桥面系工程数量汇总!$P$21</f>
        <v>14725.489767168101</v>
      </c>
      <c r="J53" s="8">
        <f t="shared" si="0"/>
        <v>14725.489767168101</v>
      </c>
    </row>
    <row r="54" spans="1:10" x14ac:dyDescent="0.25">
      <c r="A54" s="29"/>
      <c r="B54" s="23" t="s">
        <v>94</v>
      </c>
      <c r="C54" s="24"/>
      <c r="D54" s="3" t="s">
        <v>41</v>
      </c>
      <c r="E54" s="1" t="s">
        <v>6</v>
      </c>
      <c r="F54" s="7"/>
      <c r="G54" s="8">
        <f>[1]主桥下部数量表!$L$12</f>
        <v>28807.318955999999</v>
      </c>
      <c r="H54" s="8"/>
      <c r="I54" s="8"/>
      <c r="J54" s="8">
        <f t="shared" si="0"/>
        <v>28807.318955999999</v>
      </c>
    </row>
    <row r="55" spans="1:10" x14ac:dyDescent="0.25">
      <c r="A55" s="29"/>
      <c r="B55" s="25"/>
      <c r="C55" s="26"/>
      <c r="D55" s="3" t="s">
        <v>42</v>
      </c>
      <c r="E55" s="1" t="s">
        <v>6</v>
      </c>
      <c r="F55" s="7"/>
      <c r="G55" s="8">
        <f>[1]主桥下部数量表!$L$11</f>
        <v>7587.5069221760004</v>
      </c>
      <c r="H55" s="8"/>
      <c r="I55" s="8"/>
      <c r="J55" s="8">
        <f t="shared" si="0"/>
        <v>7587.5069221760004</v>
      </c>
    </row>
    <row r="56" spans="1:10" x14ac:dyDescent="0.25">
      <c r="A56" s="29"/>
      <c r="B56" s="27"/>
      <c r="C56" s="28"/>
      <c r="D56" s="3" t="s">
        <v>7</v>
      </c>
      <c r="E56" s="1" t="s">
        <v>6</v>
      </c>
      <c r="F56" s="7"/>
      <c r="G56" s="8">
        <f>[1]主桥下部数量表!$L$10</f>
        <v>978.54960000000005</v>
      </c>
      <c r="H56" s="8"/>
      <c r="I56" s="8"/>
      <c r="J56" s="8">
        <f t="shared" si="0"/>
        <v>978.54960000000005</v>
      </c>
    </row>
    <row r="57" spans="1:10" x14ac:dyDescent="0.25">
      <c r="A57" s="29"/>
      <c r="B57" s="16" t="s">
        <v>39</v>
      </c>
      <c r="C57" s="18"/>
      <c r="D57" s="3" t="s">
        <v>40</v>
      </c>
      <c r="E57" s="1" t="s">
        <v>6</v>
      </c>
      <c r="F57" s="7"/>
      <c r="G57" s="8">
        <f>[1]主桥下部数量表!$L$9</f>
        <v>62.800000000000011</v>
      </c>
      <c r="H57" s="8"/>
      <c r="I57" s="8"/>
      <c r="J57" s="8">
        <f t="shared" si="0"/>
        <v>62.800000000000011</v>
      </c>
    </row>
    <row r="58" spans="1:10" x14ac:dyDescent="0.25">
      <c r="A58" s="29"/>
      <c r="B58" s="20" t="s">
        <v>68</v>
      </c>
      <c r="C58" s="20"/>
      <c r="D58" s="3" t="s">
        <v>69</v>
      </c>
      <c r="E58" s="1" t="s">
        <v>6</v>
      </c>
      <c r="F58" s="7"/>
      <c r="G58" s="8"/>
      <c r="H58" s="8">
        <f>[2]拱肋数量汇总表!$N$24</f>
        <v>15443.305128363201</v>
      </c>
      <c r="I58" s="6"/>
      <c r="J58" s="8">
        <f t="shared" si="0"/>
        <v>15443.305128363201</v>
      </c>
    </row>
    <row r="59" spans="1:10" x14ac:dyDescent="0.25">
      <c r="A59" s="29"/>
      <c r="B59" s="20" t="s">
        <v>70</v>
      </c>
      <c r="C59" s="20"/>
      <c r="D59" s="3" t="s">
        <v>15</v>
      </c>
      <c r="E59" s="1" t="s">
        <v>6</v>
      </c>
      <c r="F59" s="7"/>
      <c r="G59" s="8"/>
      <c r="H59" s="8">
        <f>[2]拱肋数量汇总表!$N$25</f>
        <v>5609.1548678016006</v>
      </c>
      <c r="I59" s="6"/>
      <c r="J59" s="8">
        <f t="shared" si="0"/>
        <v>5609.1548678016006</v>
      </c>
    </row>
    <row r="60" spans="1:10" x14ac:dyDescent="0.25">
      <c r="A60" s="29"/>
      <c r="B60" s="20"/>
      <c r="C60" s="20"/>
      <c r="D60" s="3" t="s">
        <v>17</v>
      </c>
      <c r="E60" s="1" t="s">
        <v>6</v>
      </c>
      <c r="F60" s="7"/>
      <c r="G60" s="8"/>
      <c r="H60" s="8">
        <f>[2]拱肋数量汇总表!$N$26</f>
        <v>3156.6722984880003</v>
      </c>
      <c r="I60" s="6"/>
      <c r="J60" s="8">
        <f t="shared" si="0"/>
        <v>3156.6722984880003</v>
      </c>
    </row>
    <row r="61" spans="1:10" x14ac:dyDescent="0.25">
      <c r="A61" s="29"/>
      <c r="B61" s="16" t="s">
        <v>71</v>
      </c>
      <c r="C61" s="18"/>
      <c r="D61" s="3" t="s">
        <v>72</v>
      </c>
      <c r="E61" s="1" t="s">
        <v>6</v>
      </c>
      <c r="F61" s="7"/>
      <c r="G61" s="8"/>
      <c r="H61" s="8">
        <f>[2]拱肋数量汇总表!$N$27</f>
        <v>1104.8353031520001</v>
      </c>
      <c r="I61" s="6"/>
      <c r="J61" s="8">
        <f t="shared" si="0"/>
        <v>1104.8353031520001</v>
      </c>
    </row>
    <row r="62" spans="1:10" x14ac:dyDescent="0.25">
      <c r="A62" s="29"/>
      <c r="B62" s="16" t="s">
        <v>73</v>
      </c>
      <c r="C62" s="18"/>
      <c r="D62" s="3" t="s">
        <v>74</v>
      </c>
      <c r="E62" s="1" t="s">
        <v>6</v>
      </c>
      <c r="F62" s="7"/>
      <c r="G62" s="8"/>
      <c r="H62" s="8">
        <f>[2]拱肋数量汇总表!$N$28</f>
        <v>3215.674</v>
      </c>
      <c r="I62" s="6"/>
      <c r="J62" s="8">
        <f t="shared" si="0"/>
        <v>3215.674</v>
      </c>
    </row>
    <row r="63" spans="1:10" x14ac:dyDescent="0.25">
      <c r="A63" s="22"/>
      <c r="B63" s="20" t="s">
        <v>20</v>
      </c>
      <c r="C63" s="19"/>
      <c r="D63" s="19"/>
      <c r="E63" s="1" t="s">
        <v>6</v>
      </c>
      <c r="F63" s="7">
        <f>SUM(F18:F62)</f>
        <v>3317452.7299389224</v>
      </c>
      <c r="G63" s="7">
        <f>SUM(G18:G62)</f>
        <v>37436.175478176003</v>
      </c>
      <c r="H63" s="7">
        <f>SUM(H18:H62)</f>
        <v>2478815.2455664459</v>
      </c>
      <c r="I63" s="7"/>
      <c r="J63" s="8">
        <f t="shared" si="0"/>
        <v>5833704.1509835441</v>
      </c>
    </row>
    <row r="64" spans="1:10" x14ac:dyDescent="0.25">
      <c r="A64" s="21" t="s">
        <v>21</v>
      </c>
      <c r="B64" s="16" t="s">
        <v>75</v>
      </c>
      <c r="C64" s="17"/>
      <c r="D64" s="18"/>
      <c r="E64" s="1" t="s">
        <v>23</v>
      </c>
      <c r="F64" s="7"/>
      <c r="G64" s="7"/>
      <c r="H64" s="10">
        <f>[2]拱肋数量汇总表!$N$30</f>
        <v>800</v>
      </c>
      <c r="I64" s="10">
        <f>[4]桥面系工程数量汇总!$P$30</f>
        <v>64708.19999999999</v>
      </c>
      <c r="J64" s="9">
        <f t="shared" si="0"/>
        <v>65508.19999999999</v>
      </c>
    </row>
    <row r="65" spans="1:10" x14ac:dyDescent="0.25">
      <c r="A65" s="29"/>
      <c r="B65" s="16" t="s">
        <v>22</v>
      </c>
      <c r="C65" s="17"/>
      <c r="D65" s="18"/>
      <c r="E65" s="1" t="s">
        <v>23</v>
      </c>
      <c r="F65" s="10">
        <f>[3]主梁工程数量表!$K$18</f>
        <v>2640</v>
      </c>
      <c r="G65" s="9"/>
      <c r="H65" s="8"/>
      <c r="I65" s="8"/>
      <c r="J65" s="9">
        <f t="shared" si="0"/>
        <v>2640</v>
      </c>
    </row>
    <row r="66" spans="1:10" x14ac:dyDescent="0.25">
      <c r="A66" s="29"/>
      <c r="B66" s="16" t="s">
        <v>24</v>
      </c>
      <c r="C66" s="17"/>
      <c r="D66" s="18"/>
      <c r="E66" s="1" t="s">
        <v>23</v>
      </c>
      <c r="F66" s="10">
        <f>[3]主梁工程数量表!$K$19</f>
        <v>9600</v>
      </c>
      <c r="G66" s="9"/>
      <c r="H66" s="8"/>
      <c r="I66" s="9">
        <f>[4]桥面系工程数量汇总!$P$31</f>
        <v>2484</v>
      </c>
      <c r="J66" s="9">
        <f t="shared" si="0"/>
        <v>12084</v>
      </c>
    </row>
    <row r="67" spans="1:10" x14ac:dyDescent="0.25">
      <c r="A67" s="29"/>
      <c r="B67" s="16" t="s">
        <v>49</v>
      </c>
      <c r="C67" s="17"/>
      <c r="D67" s="18"/>
      <c r="E67" s="1" t="s">
        <v>23</v>
      </c>
      <c r="F67" s="10"/>
      <c r="G67" s="9">
        <f>[1]主桥下部数量表!$L$26</f>
        <v>32</v>
      </c>
      <c r="H67" s="8"/>
      <c r="I67" s="9">
        <f>[4]桥面系工程数量汇总!$P$32</f>
        <v>20</v>
      </c>
      <c r="J67" s="9">
        <f t="shared" si="0"/>
        <v>52</v>
      </c>
    </row>
    <row r="68" spans="1:10" x14ac:dyDescent="0.25">
      <c r="A68" s="29"/>
      <c r="B68" s="16" t="s">
        <v>77</v>
      </c>
      <c r="C68" s="17"/>
      <c r="D68" s="18"/>
      <c r="E68" s="1" t="s">
        <v>23</v>
      </c>
      <c r="F68" s="10"/>
      <c r="G68" s="9"/>
      <c r="H68" s="8"/>
      <c r="I68" s="9">
        <f>[4]桥面系工程数量汇总!$P$33</f>
        <v>362</v>
      </c>
      <c r="J68" s="9">
        <f t="shared" si="0"/>
        <v>362</v>
      </c>
    </row>
    <row r="69" spans="1:10" x14ac:dyDescent="0.25">
      <c r="A69" s="22"/>
      <c r="B69" s="16" t="s">
        <v>78</v>
      </c>
      <c r="C69" s="17"/>
      <c r="D69" s="18"/>
      <c r="E69" s="1" t="s">
        <v>23</v>
      </c>
      <c r="F69" s="10"/>
      <c r="G69" s="9"/>
      <c r="H69" s="8"/>
      <c r="I69" s="9">
        <f>[4]桥面系工程数量汇总!$P$34</f>
        <v>4032</v>
      </c>
      <c r="J69" s="9">
        <f t="shared" si="0"/>
        <v>4032</v>
      </c>
    </row>
    <row r="70" spans="1:10" x14ac:dyDescent="0.25">
      <c r="A70" s="21" t="s">
        <v>47</v>
      </c>
      <c r="B70" s="13">
        <v>25</v>
      </c>
      <c r="C70" s="14"/>
      <c r="D70" s="15"/>
      <c r="E70" s="1" t="s">
        <v>30</v>
      </c>
      <c r="F70" s="7"/>
      <c r="G70" s="9">
        <f>[1]主桥下部数量表!$L$23</f>
        <v>4256</v>
      </c>
      <c r="H70" s="8"/>
      <c r="I70" s="8"/>
      <c r="J70" s="9">
        <f t="shared" ref="J70:J90" si="1">SUM(F70:I70)</f>
        <v>4256</v>
      </c>
    </row>
    <row r="71" spans="1:10" x14ac:dyDescent="0.25">
      <c r="A71" s="29"/>
      <c r="B71" s="13">
        <v>28</v>
      </c>
      <c r="C71" s="14"/>
      <c r="D71" s="15"/>
      <c r="E71" s="1" t="s">
        <v>30</v>
      </c>
      <c r="F71" s="7"/>
      <c r="G71" s="9">
        <f>[1]主桥下部数量表!$L$24</f>
        <v>492</v>
      </c>
      <c r="H71" s="8"/>
      <c r="I71" s="8"/>
      <c r="J71" s="9">
        <f t="shared" si="1"/>
        <v>492</v>
      </c>
    </row>
    <row r="72" spans="1:10" x14ac:dyDescent="0.25">
      <c r="A72" s="22"/>
      <c r="B72" s="19">
        <v>32</v>
      </c>
      <c r="C72" s="19"/>
      <c r="D72" s="19"/>
      <c r="E72" s="1" t="s">
        <v>48</v>
      </c>
      <c r="F72" s="7"/>
      <c r="G72" s="9">
        <f>[1]主桥下部数量表!$L$25</f>
        <v>544</v>
      </c>
      <c r="H72" s="8"/>
      <c r="I72" s="8"/>
      <c r="J72" s="9">
        <f t="shared" si="1"/>
        <v>544</v>
      </c>
    </row>
    <row r="73" spans="1:10" x14ac:dyDescent="0.25">
      <c r="A73" s="1" t="s">
        <v>50</v>
      </c>
      <c r="B73" s="1" t="s">
        <v>51</v>
      </c>
      <c r="C73" s="20" t="s">
        <v>52</v>
      </c>
      <c r="D73" s="19"/>
      <c r="E73" s="1" t="s">
        <v>6</v>
      </c>
      <c r="F73" s="7"/>
      <c r="G73" s="8">
        <f>[1]主桥下部数量表!$L$27</f>
        <v>24162.799999999999</v>
      </c>
      <c r="H73" s="8"/>
      <c r="I73" s="8"/>
      <c r="J73" s="8">
        <f t="shared" si="1"/>
        <v>24162.799999999999</v>
      </c>
    </row>
    <row r="74" spans="1:10" ht="16.2" x14ac:dyDescent="0.25">
      <c r="A74" s="20" t="s">
        <v>25</v>
      </c>
      <c r="B74" s="20" t="s">
        <v>26</v>
      </c>
      <c r="C74" s="20"/>
      <c r="D74" s="20"/>
      <c r="E74" s="1" t="s">
        <v>27</v>
      </c>
      <c r="F74" s="7">
        <f>[3]主梁工程数量表!$K$20</f>
        <v>26955.971291227539</v>
      </c>
      <c r="G74" s="8">
        <f>[1]主桥下部数量表!$L$28</f>
        <v>1100.00647624</v>
      </c>
      <c r="H74" s="8">
        <f>[2]拱肋数量汇总表!$N$31</f>
        <v>17979.907724129036</v>
      </c>
      <c r="I74" s="8">
        <f>[4]桥面系工程数量汇总!$P$44</f>
        <v>10.66</v>
      </c>
      <c r="J74" s="8">
        <f t="shared" si="1"/>
        <v>46046.545491596582</v>
      </c>
    </row>
    <row r="75" spans="1:10" ht="16.2" x14ac:dyDescent="0.25">
      <c r="A75" s="20"/>
      <c r="B75" s="20" t="s">
        <v>28</v>
      </c>
      <c r="C75" s="20"/>
      <c r="D75" s="20"/>
      <c r="E75" s="1" t="s">
        <v>27</v>
      </c>
      <c r="F75" s="7">
        <f>[3]主梁工程数量表!$K$21</f>
        <v>21012.155793883067</v>
      </c>
      <c r="G75" s="8"/>
      <c r="H75" s="8">
        <f>[2]拱肋数量汇总表!$N$32</f>
        <v>39631.093834168336</v>
      </c>
      <c r="I75" s="8">
        <f>[4]桥面系工程数量汇总!$P$45</f>
        <v>5188.9964791031098</v>
      </c>
      <c r="J75" s="8">
        <f t="shared" si="1"/>
        <v>65832.246107154511</v>
      </c>
    </row>
    <row r="76" spans="1:10" x14ac:dyDescent="0.25">
      <c r="A76" s="2" t="s">
        <v>3</v>
      </c>
      <c r="B76" s="12" t="s">
        <v>29</v>
      </c>
      <c r="C76" s="12"/>
      <c r="D76" s="12"/>
      <c r="E76" s="1" t="s">
        <v>30</v>
      </c>
      <c r="F76" s="9">
        <f>[3]主梁工程数量表!$K$22</f>
        <v>4</v>
      </c>
      <c r="G76" s="6"/>
      <c r="H76" s="6"/>
      <c r="I76" s="6"/>
      <c r="J76" s="9">
        <f t="shared" si="1"/>
        <v>4</v>
      </c>
    </row>
    <row r="77" spans="1:10" x14ac:dyDescent="0.25">
      <c r="A77" s="2" t="s">
        <v>53</v>
      </c>
      <c r="B77" s="12" t="s">
        <v>54</v>
      </c>
      <c r="C77" s="12"/>
      <c r="D77" s="12"/>
      <c r="E77" s="1" t="s">
        <v>55</v>
      </c>
      <c r="F77" s="6"/>
      <c r="G77" s="8">
        <f>[1]主桥下部数量表!$L$29</f>
        <v>16</v>
      </c>
      <c r="H77" s="6"/>
      <c r="I77" s="6"/>
      <c r="J77" s="8">
        <f t="shared" si="1"/>
        <v>16</v>
      </c>
    </row>
    <row r="78" spans="1:10" x14ac:dyDescent="0.25">
      <c r="A78" s="12" t="s">
        <v>56</v>
      </c>
      <c r="B78" s="12"/>
      <c r="C78" s="12"/>
      <c r="D78" s="12"/>
      <c r="E78" s="2" t="s">
        <v>30</v>
      </c>
      <c r="F78" s="6"/>
      <c r="G78" s="9">
        <f>[1]主桥下部数量表!$L$30</f>
        <v>3976</v>
      </c>
      <c r="H78" s="6"/>
      <c r="I78" s="6"/>
      <c r="J78" s="8">
        <f t="shared" si="1"/>
        <v>3976</v>
      </c>
    </row>
    <row r="79" spans="1:10" x14ac:dyDescent="0.25">
      <c r="A79" s="2" t="s">
        <v>57</v>
      </c>
      <c r="B79" s="12" t="s">
        <v>58</v>
      </c>
      <c r="C79" s="12"/>
      <c r="D79" s="12"/>
      <c r="E79" s="1" t="s">
        <v>6</v>
      </c>
      <c r="F79" s="6"/>
      <c r="G79" s="8">
        <f>[1]主桥下部数量表!$L$31</f>
        <v>1807.7002</v>
      </c>
      <c r="H79" s="6"/>
      <c r="I79" s="9"/>
      <c r="J79" s="8">
        <f t="shared" si="1"/>
        <v>1807.7002</v>
      </c>
    </row>
    <row r="80" spans="1:10" x14ac:dyDescent="0.25">
      <c r="A80" s="19" t="s">
        <v>79</v>
      </c>
      <c r="B80" s="20" t="s">
        <v>80</v>
      </c>
      <c r="C80" s="20"/>
      <c r="D80" s="20"/>
      <c r="E80" s="1" t="s">
        <v>30</v>
      </c>
      <c r="F80" s="6"/>
      <c r="G80" s="8"/>
      <c r="H80" s="6"/>
      <c r="I80" s="9">
        <f>[4]桥面系工程数量汇总!$P$39</f>
        <v>13248</v>
      </c>
      <c r="J80" s="9">
        <f t="shared" si="1"/>
        <v>13248</v>
      </c>
    </row>
    <row r="81" spans="1:10" x14ac:dyDescent="0.25">
      <c r="A81" s="19"/>
      <c r="B81" s="20" t="s">
        <v>81</v>
      </c>
      <c r="C81" s="20"/>
      <c r="D81" s="20"/>
      <c r="E81" s="1" t="s">
        <v>30</v>
      </c>
      <c r="F81" s="6"/>
      <c r="G81" s="8"/>
      <c r="H81" s="6"/>
      <c r="I81" s="9">
        <f>[4]桥面系工程数量汇总!$P$40</f>
        <v>82</v>
      </c>
      <c r="J81" s="9">
        <f t="shared" si="1"/>
        <v>82</v>
      </c>
    </row>
    <row r="82" spans="1:10" x14ac:dyDescent="0.25">
      <c r="A82" s="21" t="s">
        <v>82</v>
      </c>
      <c r="B82" s="16" t="s">
        <v>83</v>
      </c>
      <c r="C82" s="17"/>
      <c r="D82" s="18"/>
      <c r="E82" s="1" t="s">
        <v>30</v>
      </c>
      <c r="F82" s="6"/>
      <c r="G82" s="8"/>
      <c r="H82" s="6"/>
      <c r="I82" s="9">
        <f>[4]桥面系工程数量汇总!$P$41</f>
        <v>8</v>
      </c>
      <c r="J82" s="9">
        <f t="shared" si="1"/>
        <v>8</v>
      </c>
    </row>
    <row r="83" spans="1:10" x14ac:dyDescent="0.25">
      <c r="A83" s="22"/>
      <c r="B83" s="16" t="s">
        <v>84</v>
      </c>
      <c r="C83" s="17"/>
      <c r="D83" s="18"/>
      <c r="E83" s="1" t="s">
        <v>30</v>
      </c>
      <c r="F83" s="6"/>
      <c r="G83" s="8"/>
      <c r="H83" s="6"/>
      <c r="I83" s="9">
        <f>[4]桥面系工程数量汇总!$P$42</f>
        <v>82</v>
      </c>
      <c r="J83" s="9">
        <f t="shared" si="1"/>
        <v>82</v>
      </c>
    </row>
    <row r="84" spans="1:10" x14ac:dyDescent="0.25">
      <c r="A84" s="13" t="s">
        <v>85</v>
      </c>
      <c r="B84" s="14"/>
      <c r="C84" s="14"/>
      <c r="D84" s="15"/>
      <c r="E84" s="1" t="s">
        <v>55</v>
      </c>
      <c r="F84" s="6"/>
      <c r="G84" s="8"/>
      <c r="H84" s="6"/>
      <c r="I84" s="8">
        <f>[4]桥面系工程数量汇总!$P$43</f>
        <v>82</v>
      </c>
      <c r="J84" s="9">
        <f t="shared" si="1"/>
        <v>82</v>
      </c>
    </row>
    <row r="85" spans="1:10" x14ac:dyDescent="0.25">
      <c r="A85" s="1" t="s">
        <v>86</v>
      </c>
      <c r="B85" s="16" t="s">
        <v>87</v>
      </c>
      <c r="C85" s="17"/>
      <c r="D85" s="18"/>
      <c r="E85" s="1" t="s">
        <v>30</v>
      </c>
      <c r="F85" s="6"/>
      <c r="G85" s="8"/>
      <c r="H85" s="6"/>
      <c r="I85" s="9">
        <f>[4]桥面系工程数量汇总!$P$51</f>
        <v>8392.818734479999</v>
      </c>
      <c r="J85" s="9">
        <f t="shared" si="1"/>
        <v>8392.818734479999</v>
      </c>
    </row>
    <row r="86" spans="1:10" ht="16.2" x14ac:dyDescent="0.25">
      <c r="A86" s="30" t="s">
        <v>99</v>
      </c>
      <c r="B86" s="16" t="s">
        <v>100</v>
      </c>
      <c r="C86" s="17"/>
      <c r="D86" s="18"/>
      <c r="E86" s="1" t="s">
        <v>101</v>
      </c>
      <c r="F86" s="6"/>
      <c r="G86" s="8"/>
      <c r="H86" s="6"/>
      <c r="I86" s="8">
        <f>[4]桥面系工程数量汇总!$P$46</f>
        <v>3161.0296339013325</v>
      </c>
      <c r="J86" s="8">
        <f t="shared" si="1"/>
        <v>3161.0296339013325</v>
      </c>
    </row>
    <row r="87" spans="1:10" ht="16.2" x14ac:dyDescent="0.25">
      <c r="A87" s="31"/>
      <c r="B87" s="16" t="s">
        <v>102</v>
      </c>
      <c r="C87" s="17"/>
      <c r="D87" s="18"/>
      <c r="E87" s="1" t="s">
        <v>101</v>
      </c>
      <c r="F87" s="6"/>
      <c r="G87" s="8"/>
      <c r="H87" s="6"/>
      <c r="I87" s="8">
        <f>[4]桥面系工程数量汇总!$P$47</f>
        <v>4788.3599999999997</v>
      </c>
      <c r="J87" s="8">
        <f t="shared" si="1"/>
        <v>4788.3599999999997</v>
      </c>
    </row>
    <row r="88" spans="1:10" ht="16.2" x14ac:dyDescent="0.25">
      <c r="A88" s="31"/>
      <c r="B88" s="16" t="s">
        <v>103</v>
      </c>
      <c r="C88" s="17"/>
      <c r="D88" s="18"/>
      <c r="E88" s="1" t="s">
        <v>101</v>
      </c>
      <c r="F88" s="6"/>
      <c r="G88" s="8"/>
      <c r="H88" s="6"/>
      <c r="I88" s="8">
        <f>[4]桥面系工程数量汇总!$P$48</f>
        <v>962.88</v>
      </c>
      <c r="J88" s="8">
        <f t="shared" si="1"/>
        <v>962.88</v>
      </c>
    </row>
    <row r="89" spans="1:10" ht="16.2" x14ac:dyDescent="0.25">
      <c r="A89" s="31"/>
      <c r="B89" s="16" t="s">
        <v>104</v>
      </c>
      <c r="C89" s="17"/>
      <c r="D89" s="18"/>
      <c r="E89" s="1" t="s">
        <v>101</v>
      </c>
      <c r="F89" s="6"/>
      <c r="G89" s="8"/>
      <c r="H89" s="6"/>
      <c r="I89" s="8">
        <f>[4]桥面系工程数量汇总!$P$49</f>
        <v>962.88</v>
      </c>
      <c r="J89" s="8">
        <f t="shared" si="1"/>
        <v>962.88</v>
      </c>
    </row>
    <row r="90" spans="1:10" ht="16.2" x14ac:dyDescent="0.25">
      <c r="A90" s="32"/>
      <c r="B90" s="16" t="s">
        <v>105</v>
      </c>
      <c r="C90" s="17"/>
      <c r="D90" s="18"/>
      <c r="E90" s="1" t="s">
        <v>101</v>
      </c>
      <c r="F90" s="6"/>
      <c r="G90" s="8"/>
      <c r="H90" s="6"/>
      <c r="I90" s="8">
        <f>[4]桥面系工程数量汇总!$P$50</f>
        <v>1426.32</v>
      </c>
      <c r="J90" s="8">
        <f t="shared" si="1"/>
        <v>1426.32</v>
      </c>
    </row>
    <row r="91" spans="1:10" x14ac:dyDescent="0.25">
      <c r="A91" s="2" t="s">
        <v>88</v>
      </c>
      <c r="B91" s="12" t="s">
        <v>89</v>
      </c>
      <c r="C91" s="12"/>
      <c r="D91" s="12"/>
      <c r="E91" s="2" t="s">
        <v>90</v>
      </c>
      <c r="F91" s="6"/>
      <c r="G91" s="8"/>
      <c r="H91" s="6"/>
      <c r="I91" s="6">
        <f>[4]桥面系工程数量汇总!$P$52</f>
        <v>4</v>
      </c>
      <c r="J91" s="8">
        <f>I91</f>
        <v>4</v>
      </c>
    </row>
    <row r="92" spans="1:10" x14ac:dyDescent="0.25">
      <c r="A92" s="12" t="s">
        <v>59</v>
      </c>
      <c r="B92" s="12" t="s">
        <v>60</v>
      </c>
      <c r="C92" s="12"/>
      <c r="D92" s="12"/>
      <c r="E92" s="2" t="s">
        <v>30</v>
      </c>
      <c r="F92" s="6"/>
      <c r="G92" s="9">
        <f>[1]主桥下部数量表!$L$32</f>
        <v>1</v>
      </c>
      <c r="H92" s="6"/>
      <c r="I92" s="6"/>
      <c r="J92" s="9">
        <f t="shared" ref="J92:J100" si="2">SUM(F92:I92)</f>
        <v>1</v>
      </c>
    </row>
    <row r="93" spans="1:10" x14ac:dyDescent="0.25">
      <c r="A93" s="12"/>
      <c r="B93" s="12" t="s">
        <v>61</v>
      </c>
      <c r="C93" s="12"/>
      <c r="D93" s="12"/>
      <c r="E93" s="2" t="s">
        <v>30</v>
      </c>
      <c r="F93" s="6"/>
      <c r="G93" s="9">
        <f>[1]主桥下部数量表!$L$33</f>
        <v>1</v>
      </c>
      <c r="H93" s="6"/>
      <c r="I93" s="6"/>
      <c r="J93" s="9">
        <f t="shared" si="2"/>
        <v>1</v>
      </c>
    </row>
    <row r="94" spans="1:10" x14ac:dyDescent="0.25">
      <c r="A94" s="12"/>
      <c r="B94" s="12" t="s">
        <v>62</v>
      </c>
      <c r="C94" s="12"/>
      <c r="D94" s="12"/>
      <c r="E94" s="2" t="s">
        <v>30</v>
      </c>
      <c r="F94" s="6"/>
      <c r="G94" s="9">
        <f>[1]主桥下部数量表!$L$34</f>
        <v>1</v>
      </c>
      <c r="H94" s="6"/>
      <c r="I94" s="6"/>
      <c r="J94" s="9">
        <f t="shared" si="2"/>
        <v>1</v>
      </c>
    </row>
    <row r="95" spans="1:10" x14ac:dyDescent="0.25">
      <c r="A95" s="12"/>
      <c r="B95" s="12" t="s">
        <v>63</v>
      </c>
      <c r="C95" s="12"/>
      <c r="D95" s="12"/>
      <c r="E95" s="2" t="s">
        <v>30</v>
      </c>
      <c r="F95" s="6"/>
      <c r="G95" s="9">
        <f>[1]主桥下部数量表!$L$35</f>
        <v>1</v>
      </c>
      <c r="H95" s="6"/>
      <c r="I95" s="6"/>
      <c r="J95" s="9">
        <f t="shared" si="2"/>
        <v>1</v>
      </c>
    </row>
    <row r="96" spans="1:10" x14ac:dyDescent="0.25">
      <c r="A96" s="12"/>
      <c r="B96" s="12" t="s">
        <v>95</v>
      </c>
      <c r="C96" s="12"/>
      <c r="D96" s="12"/>
      <c r="E96" s="2" t="s">
        <v>30</v>
      </c>
      <c r="F96" s="6"/>
      <c r="G96" s="9">
        <f>[1]主桥下部数量表!$L$36</f>
        <v>1</v>
      </c>
      <c r="H96" s="6"/>
      <c r="I96" s="6"/>
      <c r="J96" s="9">
        <f t="shared" si="2"/>
        <v>1</v>
      </c>
    </row>
    <row r="97" spans="1:10" x14ac:dyDescent="0.25">
      <c r="A97" s="12"/>
      <c r="B97" s="12" t="s">
        <v>96</v>
      </c>
      <c r="C97" s="12"/>
      <c r="D97" s="12"/>
      <c r="E97" s="2" t="s">
        <v>30</v>
      </c>
      <c r="F97" s="6"/>
      <c r="G97" s="9">
        <f>[1]主桥下部数量表!$L$37</f>
        <v>2</v>
      </c>
      <c r="H97" s="6"/>
      <c r="I97" s="6"/>
      <c r="J97" s="9">
        <f t="shared" si="2"/>
        <v>2</v>
      </c>
    </row>
    <row r="98" spans="1:10" x14ac:dyDescent="0.25">
      <c r="A98" s="12"/>
      <c r="B98" s="12" t="s">
        <v>97</v>
      </c>
      <c r="C98" s="12"/>
      <c r="D98" s="12"/>
      <c r="E98" s="2" t="s">
        <v>30</v>
      </c>
      <c r="F98" s="6"/>
      <c r="G98" s="9">
        <f>[1]主桥下部数量表!$L$38</f>
        <v>1</v>
      </c>
      <c r="H98" s="6"/>
      <c r="I98" s="6"/>
      <c r="J98" s="9">
        <f t="shared" si="2"/>
        <v>1</v>
      </c>
    </row>
    <row r="99" spans="1:10" x14ac:dyDescent="0.25">
      <c r="A99" s="12"/>
      <c r="B99" s="12" t="s">
        <v>98</v>
      </c>
      <c r="C99" s="12"/>
      <c r="D99" s="12"/>
      <c r="E99" s="2" t="s">
        <v>30</v>
      </c>
      <c r="F99" s="6"/>
      <c r="G99" s="9">
        <f>[1]主桥下部数量表!$L$39</f>
        <v>4</v>
      </c>
      <c r="H99" s="6"/>
      <c r="I99" s="6"/>
      <c r="J99" s="9">
        <f t="shared" si="2"/>
        <v>4</v>
      </c>
    </row>
    <row r="100" spans="1:10" x14ac:dyDescent="0.25">
      <c r="A100" s="11" t="s">
        <v>106</v>
      </c>
      <c r="B100" s="12" t="s">
        <v>107</v>
      </c>
      <c r="C100" s="12"/>
      <c r="D100" s="12"/>
      <c r="E100" s="1" t="s">
        <v>55</v>
      </c>
      <c r="F100" s="2"/>
      <c r="G100" s="2"/>
      <c r="H100" s="2"/>
      <c r="I100" s="2" t="str">
        <f>[4]桥面系工程数量汇总!$P$53</f>
        <v>49/2</v>
      </c>
      <c r="J100" s="8">
        <f t="shared" si="2"/>
        <v>0</v>
      </c>
    </row>
  </sheetData>
  <mergeCells count="65">
    <mergeCell ref="B100:D100"/>
    <mergeCell ref="A86:A90"/>
    <mergeCell ref="B86:D86"/>
    <mergeCell ref="B87:D87"/>
    <mergeCell ref="B88:D88"/>
    <mergeCell ref="B89:D89"/>
    <mergeCell ref="B90:D90"/>
    <mergeCell ref="B5:D5"/>
    <mergeCell ref="B63:D63"/>
    <mergeCell ref="B65:D65"/>
    <mergeCell ref="A6:A9"/>
    <mergeCell ref="B6:D6"/>
    <mergeCell ref="B7:D7"/>
    <mergeCell ref="B8:D8"/>
    <mergeCell ref="B40:C53"/>
    <mergeCell ref="A10:A16"/>
    <mergeCell ref="A17:D17"/>
    <mergeCell ref="A18:A63"/>
    <mergeCell ref="B18:C33"/>
    <mergeCell ref="B58:C58"/>
    <mergeCell ref="A64:A69"/>
    <mergeCell ref="B54:C56"/>
    <mergeCell ref="B68:D68"/>
    <mergeCell ref="A74:A75"/>
    <mergeCell ref="B74:D74"/>
    <mergeCell ref="B75:D75"/>
    <mergeCell ref="B76:D76"/>
    <mergeCell ref="A70:A72"/>
    <mergeCell ref="B70:D70"/>
    <mergeCell ref="B71:D71"/>
    <mergeCell ref="B72:D72"/>
    <mergeCell ref="C73:D73"/>
    <mergeCell ref="B69:D69"/>
    <mergeCell ref="B9:D9"/>
    <mergeCell ref="B57:C57"/>
    <mergeCell ref="B10:C15"/>
    <mergeCell ref="B16:C16"/>
    <mergeCell ref="B67:D67"/>
    <mergeCell ref="B59:C60"/>
    <mergeCell ref="B61:C61"/>
    <mergeCell ref="B62:C62"/>
    <mergeCell ref="B64:D64"/>
    <mergeCell ref="B66:D66"/>
    <mergeCell ref="B34:C39"/>
    <mergeCell ref="B80:D80"/>
    <mergeCell ref="B81:D81"/>
    <mergeCell ref="A82:A83"/>
    <mergeCell ref="B82:D82"/>
    <mergeCell ref="B83:D83"/>
    <mergeCell ref="B77:D77"/>
    <mergeCell ref="A78:D78"/>
    <mergeCell ref="B79:D79"/>
    <mergeCell ref="A92:A99"/>
    <mergeCell ref="B92:D92"/>
    <mergeCell ref="B93:D93"/>
    <mergeCell ref="B94:D94"/>
    <mergeCell ref="B95:D95"/>
    <mergeCell ref="B96:D96"/>
    <mergeCell ref="B97:D97"/>
    <mergeCell ref="B98:D98"/>
    <mergeCell ref="B99:D99"/>
    <mergeCell ref="A84:D84"/>
    <mergeCell ref="B85:D85"/>
    <mergeCell ref="B91:D91"/>
    <mergeCell ref="A80:A81"/>
  </mergeCells>
  <phoneticPr fontId="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高海洋</dc:creator>
  <cp:lastModifiedBy>高海洋</cp:lastModifiedBy>
  <dcterms:created xsi:type="dcterms:W3CDTF">2015-06-05T18:19:34Z</dcterms:created>
  <dcterms:modified xsi:type="dcterms:W3CDTF">2023-01-11T10:46:09Z</dcterms:modified>
</cp:coreProperties>
</file>