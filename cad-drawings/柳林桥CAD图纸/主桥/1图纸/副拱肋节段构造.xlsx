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D613EDE2-1C91-4AD7-8B92-9006C0B7631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1节段" sheetId="6" r:id="rId1"/>
    <sheet name="C2节段" sheetId="2" r:id="rId2"/>
    <sheet name="C3节段" sheetId="3" r:id="rId3"/>
    <sheet name="C4节段" sheetId="7" r:id="rId4"/>
    <sheet name="C5节段" sheetId="8" r:id="rId5"/>
    <sheet name="拱肋吊点" sheetId="9" r:id="rId6"/>
    <sheet name="装饰板" sheetId="10" r:id="rId7"/>
    <sheet name="爬梯" sheetId="12" r:id="rId8"/>
    <sheet name="拱肋数量汇总表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8" l="1"/>
  <c r="F33" i="8"/>
  <c r="G33" i="8" s="1"/>
  <c r="N15" i="8"/>
  <c r="O15" i="8" s="1"/>
  <c r="E15" i="8"/>
  <c r="D15" i="8"/>
  <c r="C15" i="8"/>
  <c r="N14" i="8"/>
  <c r="O14" i="8" s="1"/>
  <c r="E14" i="8"/>
  <c r="F14" i="8" s="1"/>
  <c r="G14" i="8" s="1"/>
  <c r="D14" i="8"/>
  <c r="C14" i="8"/>
  <c r="N15" i="7"/>
  <c r="O15" i="7" s="1"/>
  <c r="G33" i="7"/>
  <c r="F33" i="7"/>
  <c r="D14" i="7"/>
  <c r="D15" i="7"/>
  <c r="E15" i="7"/>
  <c r="C15" i="7"/>
  <c r="N14" i="7"/>
  <c r="E14" i="7"/>
  <c r="C14" i="7"/>
  <c r="D107" i="12"/>
  <c r="D98" i="12"/>
  <c r="J29" i="11"/>
  <c r="K29" i="11"/>
  <c r="M29" i="11"/>
  <c r="F29" i="11"/>
  <c r="N17" i="11"/>
  <c r="N18" i="11"/>
  <c r="N20" i="11"/>
  <c r="M107" i="12"/>
  <c r="N107" i="12" s="1"/>
  <c r="M98" i="12"/>
  <c r="N98" i="12" s="1"/>
  <c r="C107" i="12"/>
  <c r="C106" i="12"/>
  <c r="C98" i="12"/>
  <c r="E98" i="12" s="1"/>
  <c r="C97" i="12"/>
  <c r="D106" i="12"/>
  <c r="B106" i="12"/>
  <c r="M108" i="12"/>
  <c r="D108" i="12"/>
  <c r="B108" i="12"/>
  <c r="E107" i="12"/>
  <c r="M106" i="12"/>
  <c r="M97" i="12"/>
  <c r="D97" i="12"/>
  <c r="B97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53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2" i="12"/>
  <c r="G51" i="12"/>
  <c r="F51" i="12"/>
  <c r="E51" i="12"/>
  <c r="M99" i="12"/>
  <c r="D99" i="12"/>
  <c r="B99" i="12"/>
  <c r="E97" i="12"/>
  <c r="C108" i="12" l="1"/>
  <c r="E108" i="12" s="1"/>
  <c r="E109" i="12" s="1"/>
  <c r="E110" i="12" s="1"/>
  <c r="E111" i="12" s="1"/>
  <c r="N106" i="12"/>
  <c r="F14" i="7"/>
  <c r="G14" i="7" s="1"/>
  <c r="O14" i="7"/>
  <c r="F15" i="8"/>
  <c r="G15" i="8" s="1"/>
  <c r="C99" i="12"/>
  <c r="E99" i="12" s="1"/>
  <c r="C115" i="12" s="1"/>
  <c r="L22" i="11" s="1"/>
  <c r="N22" i="11" s="1"/>
  <c r="F15" i="7"/>
  <c r="G15" i="7" s="1"/>
  <c r="C114" i="12"/>
  <c r="L21" i="11" s="1"/>
  <c r="N21" i="11"/>
  <c r="E106" i="12"/>
  <c r="C116" i="12" s="1"/>
  <c r="L23" i="11" s="1"/>
  <c r="N23" i="11" s="1"/>
  <c r="N97" i="12"/>
  <c r="N99" i="12"/>
  <c r="M7" i="10"/>
  <c r="N7" i="10" s="1"/>
  <c r="M8" i="10"/>
  <c r="M9" i="10"/>
  <c r="M10" i="10"/>
  <c r="M6" i="10"/>
  <c r="N6" i="10" s="1"/>
  <c r="N21" i="9"/>
  <c r="M20" i="9"/>
  <c r="N20" i="9" s="1"/>
  <c r="M21" i="9"/>
  <c r="M22" i="9"/>
  <c r="N22" i="9" s="1"/>
  <c r="M23" i="9"/>
  <c r="N23" i="9" s="1"/>
  <c r="M24" i="9"/>
  <c r="N24" i="9" s="1"/>
  <c r="M25" i="9"/>
  <c r="N25" i="9" s="1"/>
  <c r="M19" i="9"/>
  <c r="N19" i="9" s="1"/>
  <c r="M5" i="9"/>
  <c r="N5" i="9" s="1"/>
  <c r="M6" i="9"/>
  <c r="N6" i="9" s="1"/>
  <c r="M7" i="9"/>
  <c r="N7" i="9" s="1"/>
  <c r="M8" i="9"/>
  <c r="N8" i="9" s="1"/>
  <c r="M9" i="9"/>
  <c r="N9" i="9" s="1"/>
  <c r="N5" i="8"/>
  <c r="O5" i="8" s="1"/>
  <c r="N7" i="8"/>
  <c r="O7" i="8" s="1"/>
  <c r="N8" i="8"/>
  <c r="O8" i="8" s="1"/>
  <c r="N9" i="8"/>
  <c r="O9" i="8" s="1"/>
  <c r="N10" i="8"/>
  <c r="O10" i="8" s="1"/>
  <c r="N11" i="8"/>
  <c r="O11" i="8" s="1"/>
  <c r="N12" i="8"/>
  <c r="O12" i="8" s="1"/>
  <c r="N13" i="8"/>
  <c r="O13" i="8" s="1"/>
  <c r="N16" i="8"/>
  <c r="N17" i="8"/>
  <c r="O17" i="8" s="1"/>
  <c r="N18" i="8"/>
  <c r="O18" i="8" s="1"/>
  <c r="N19" i="8"/>
  <c r="O19" i="8" s="1"/>
  <c r="N20" i="8"/>
  <c r="O20" i="8" s="1"/>
  <c r="N22" i="8"/>
  <c r="O22" i="8" s="1"/>
  <c r="N23" i="8"/>
  <c r="O23" i="8" s="1"/>
  <c r="N24" i="8"/>
  <c r="O24" i="8" s="1"/>
  <c r="N25" i="8"/>
  <c r="O25" i="8" s="1"/>
  <c r="N26" i="8"/>
  <c r="O26" i="8" s="1"/>
  <c r="N27" i="8"/>
  <c r="O27" i="8" s="1"/>
  <c r="N29" i="8"/>
  <c r="O29" i="8" s="1"/>
  <c r="N5" i="7"/>
  <c r="O5" i="7" s="1"/>
  <c r="N7" i="7"/>
  <c r="O7" i="7" s="1"/>
  <c r="N8" i="7"/>
  <c r="O8" i="7" s="1"/>
  <c r="N9" i="7"/>
  <c r="O9" i="7" s="1"/>
  <c r="N10" i="7"/>
  <c r="O10" i="7" s="1"/>
  <c r="N11" i="7"/>
  <c r="O11" i="7" s="1"/>
  <c r="N12" i="7"/>
  <c r="O12" i="7" s="1"/>
  <c r="N13" i="7"/>
  <c r="O13" i="7" s="1"/>
  <c r="N16" i="7"/>
  <c r="N17" i="7"/>
  <c r="O17" i="7" s="1"/>
  <c r="N18" i="7"/>
  <c r="O18" i="7" s="1"/>
  <c r="N19" i="7"/>
  <c r="O19" i="7" s="1"/>
  <c r="N20" i="7"/>
  <c r="O20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9" i="7"/>
  <c r="O29" i="7" s="1"/>
  <c r="O31" i="6"/>
  <c r="N27" i="2"/>
  <c r="O27" i="2" s="1"/>
  <c r="N5" i="2"/>
  <c r="O5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31" i="6"/>
  <c r="N5" i="6"/>
  <c r="O5" i="6" s="1"/>
  <c r="N6" i="6"/>
  <c r="O6" i="6" s="1"/>
  <c r="N7" i="6"/>
  <c r="O7" i="6" s="1"/>
  <c r="N9" i="6"/>
  <c r="O9" i="6" s="1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D8" i="10"/>
  <c r="D9" i="10"/>
  <c r="D10" i="10"/>
  <c r="C8" i="10"/>
  <c r="B8" i="10"/>
  <c r="B9" i="10"/>
  <c r="B10" i="10"/>
  <c r="D7" i="10"/>
  <c r="E7" i="10" s="1"/>
  <c r="B7" i="10"/>
  <c r="D6" i="10"/>
  <c r="E6" i="10" s="1"/>
  <c r="C17" i="10" s="1"/>
  <c r="I7" i="11" s="1"/>
  <c r="B6" i="10"/>
  <c r="F29" i="9"/>
  <c r="D25" i="9"/>
  <c r="E25" i="9" s="1"/>
  <c r="F25" i="9" s="1"/>
  <c r="B25" i="9"/>
  <c r="D24" i="9"/>
  <c r="E24" i="9" s="1"/>
  <c r="F24" i="9" s="1"/>
  <c r="B24" i="9"/>
  <c r="D23" i="9"/>
  <c r="E23" i="9" s="1"/>
  <c r="F23" i="9" s="1"/>
  <c r="B23" i="9"/>
  <c r="D22" i="9"/>
  <c r="E22" i="9" s="1"/>
  <c r="F22" i="9" s="1"/>
  <c r="B22" i="9"/>
  <c r="D21" i="9"/>
  <c r="E21" i="9" s="1"/>
  <c r="F21" i="9" s="1"/>
  <c r="B21" i="9"/>
  <c r="D20" i="9"/>
  <c r="E20" i="9" s="1"/>
  <c r="F20" i="9" s="1"/>
  <c r="B20" i="9"/>
  <c r="F13" i="9"/>
  <c r="D19" i="9"/>
  <c r="E19" i="9" s="1"/>
  <c r="F19" i="9" s="1"/>
  <c r="C37" i="9" s="1"/>
  <c r="H16" i="11" s="1"/>
  <c r="N16" i="11" s="1"/>
  <c r="B19" i="9"/>
  <c r="D9" i="9"/>
  <c r="E9" i="9" s="1"/>
  <c r="F9" i="9" s="1"/>
  <c r="B9" i="9"/>
  <c r="D8" i="9"/>
  <c r="E8" i="9" s="1"/>
  <c r="F8" i="9" s="1"/>
  <c r="B8" i="9"/>
  <c r="D7" i="9"/>
  <c r="E7" i="9" s="1"/>
  <c r="F7" i="9" s="1"/>
  <c r="B7" i="9"/>
  <c r="D5" i="9"/>
  <c r="E5" i="9" s="1"/>
  <c r="F5" i="9" s="1"/>
  <c r="C38" i="9" s="1"/>
  <c r="H19" i="11" s="1"/>
  <c r="N19" i="11" s="1"/>
  <c r="B5" i="9"/>
  <c r="M4" i="9"/>
  <c r="N4" i="9" s="1"/>
  <c r="D4" i="9"/>
  <c r="E4" i="9" s="1"/>
  <c r="B4" i="9"/>
  <c r="E29" i="8"/>
  <c r="F29" i="8" s="1"/>
  <c r="G29" i="8" s="1"/>
  <c r="C43" i="8" s="1"/>
  <c r="C29" i="8"/>
  <c r="E29" i="7"/>
  <c r="F29" i="7" s="1"/>
  <c r="G29" i="7" s="1"/>
  <c r="C45" i="7" s="1"/>
  <c r="G28" i="11" s="1"/>
  <c r="N28" i="11" s="1"/>
  <c r="C29" i="7"/>
  <c r="L28" i="8"/>
  <c r="N28" i="8" s="1"/>
  <c r="O28" i="8" s="1"/>
  <c r="L21" i="8"/>
  <c r="N21" i="8" s="1"/>
  <c r="O21" i="8" s="1"/>
  <c r="L4" i="8"/>
  <c r="E28" i="8"/>
  <c r="F28" i="8" s="1"/>
  <c r="G28" i="8" s="1"/>
  <c r="E27" i="8"/>
  <c r="F27" i="8" s="1"/>
  <c r="G27" i="8" s="1"/>
  <c r="C27" i="8"/>
  <c r="E26" i="8"/>
  <c r="F26" i="8" s="1"/>
  <c r="G26" i="8" s="1"/>
  <c r="C26" i="8"/>
  <c r="E25" i="8"/>
  <c r="F25" i="8" s="1"/>
  <c r="G25" i="8" s="1"/>
  <c r="C25" i="8"/>
  <c r="E24" i="8"/>
  <c r="F24" i="8" s="1"/>
  <c r="G24" i="8" s="1"/>
  <c r="C24" i="8"/>
  <c r="E23" i="8"/>
  <c r="F23" i="8" s="1"/>
  <c r="G23" i="8" s="1"/>
  <c r="C23" i="8"/>
  <c r="E22" i="8"/>
  <c r="F22" i="8" s="1"/>
  <c r="G22" i="8" s="1"/>
  <c r="C22" i="8"/>
  <c r="E20" i="8"/>
  <c r="F20" i="8" s="1"/>
  <c r="G20" i="8" s="1"/>
  <c r="C20" i="8"/>
  <c r="E19" i="8"/>
  <c r="F19" i="8" s="1"/>
  <c r="G19" i="8" s="1"/>
  <c r="C19" i="8"/>
  <c r="E18" i="8"/>
  <c r="F18" i="8" s="1"/>
  <c r="G18" i="8" s="1"/>
  <c r="C18" i="8"/>
  <c r="E17" i="8"/>
  <c r="F17" i="8" s="1"/>
  <c r="G17" i="8" s="1"/>
  <c r="C17" i="8"/>
  <c r="E16" i="8"/>
  <c r="D16" i="8"/>
  <c r="C16" i="8"/>
  <c r="E13" i="8"/>
  <c r="F13" i="8" s="1"/>
  <c r="G13" i="8" s="1"/>
  <c r="C13" i="8"/>
  <c r="E12" i="8"/>
  <c r="F12" i="8" s="1"/>
  <c r="G12" i="8" s="1"/>
  <c r="C12" i="8"/>
  <c r="E11" i="8"/>
  <c r="F11" i="8" s="1"/>
  <c r="G11" i="8" s="1"/>
  <c r="C11" i="8"/>
  <c r="E10" i="8"/>
  <c r="F10" i="8" s="1"/>
  <c r="G10" i="8" s="1"/>
  <c r="C10" i="8"/>
  <c r="E9" i="8"/>
  <c r="F9" i="8" s="1"/>
  <c r="G9" i="8" s="1"/>
  <c r="C9" i="8"/>
  <c r="E8" i="8"/>
  <c r="F8" i="8" s="1"/>
  <c r="G8" i="8" s="1"/>
  <c r="C8" i="8"/>
  <c r="E7" i="8"/>
  <c r="F7" i="8" s="1"/>
  <c r="G7" i="8" s="1"/>
  <c r="C7" i="8"/>
  <c r="E5" i="8"/>
  <c r="F5" i="8" s="1"/>
  <c r="G5" i="8" s="1"/>
  <c r="C5" i="8"/>
  <c r="N4" i="8"/>
  <c r="O4" i="8" s="1"/>
  <c r="E4" i="8"/>
  <c r="F4" i="8" s="1"/>
  <c r="E12" i="7"/>
  <c r="F12" i="7" s="1"/>
  <c r="G12" i="7" s="1"/>
  <c r="C12" i="7"/>
  <c r="L28" i="7"/>
  <c r="C28" i="7" s="1"/>
  <c r="E27" i="7"/>
  <c r="F27" i="7" s="1"/>
  <c r="G27" i="7" s="1"/>
  <c r="C27" i="7"/>
  <c r="E13" i="7"/>
  <c r="F13" i="7" s="1"/>
  <c r="G13" i="7" s="1"/>
  <c r="C13" i="7"/>
  <c r="E20" i="7"/>
  <c r="F20" i="7" s="1"/>
  <c r="G20" i="7" s="1"/>
  <c r="C20" i="7"/>
  <c r="E19" i="7"/>
  <c r="F19" i="7" s="1"/>
  <c r="G19" i="7" s="1"/>
  <c r="C19" i="7"/>
  <c r="E18" i="7"/>
  <c r="F18" i="7" s="1"/>
  <c r="G18" i="7" s="1"/>
  <c r="C18" i="7"/>
  <c r="D16" i="7"/>
  <c r="L21" i="7"/>
  <c r="C21" i="7" s="1"/>
  <c r="L4" i="7"/>
  <c r="L6" i="7" s="1"/>
  <c r="N6" i="7" s="1"/>
  <c r="O6" i="7" s="1"/>
  <c r="E26" i="7"/>
  <c r="F26" i="7" s="1"/>
  <c r="G26" i="7" s="1"/>
  <c r="C26" i="7"/>
  <c r="E25" i="7"/>
  <c r="F25" i="7" s="1"/>
  <c r="G25" i="7" s="1"/>
  <c r="C25" i="7"/>
  <c r="E24" i="7"/>
  <c r="F24" i="7" s="1"/>
  <c r="G24" i="7" s="1"/>
  <c r="C24" i="7"/>
  <c r="E23" i="7"/>
  <c r="F23" i="7" s="1"/>
  <c r="G23" i="7" s="1"/>
  <c r="C23" i="7"/>
  <c r="E22" i="7"/>
  <c r="F22" i="7" s="1"/>
  <c r="G22" i="7" s="1"/>
  <c r="C22" i="7"/>
  <c r="E17" i="7"/>
  <c r="F17" i="7" s="1"/>
  <c r="G17" i="7" s="1"/>
  <c r="C17" i="7"/>
  <c r="E16" i="7"/>
  <c r="C16" i="7"/>
  <c r="E11" i="7"/>
  <c r="F11" i="7" s="1"/>
  <c r="G11" i="7" s="1"/>
  <c r="C11" i="7"/>
  <c r="E10" i="7"/>
  <c r="F10" i="7" s="1"/>
  <c r="G10" i="7" s="1"/>
  <c r="C10" i="7"/>
  <c r="E9" i="7"/>
  <c r="F9" i="7" s="1"/>
  <c r="G9" i="7" s="1"/>
  <c r="C9" i="7"/>
  <c r="E8" i="7"/>
  <c r="F8" i="7" s="1"/>
  <c r="G8" i="7" s="1"/>
  <c r="C8" i="7"/>
  <c r="E7" i="7"/>
  <c r="F7" i="7" s="1"/>
  <c r="G7" i="7" s="1"/>
  <c r="C7" i="7"/>
  <c r="E5" i="7"/>
  <c r="F5" i="7" s="1"/>
  <c r="G5" i="7" s="1"/>
  <c r="C5" i="7"/>
  <c r="L20" i="6"/>
  <c r="C20" i="6" s="1"/>
  <c r="L14" i="6"/>
  <c r="C14" i="6" s="1"/>
  <c r="E14" i="6"/>
  <c r="F14" i="6" s="1"/>
  <c r="G14" i="6" s="1"/>
  <c r="E9" i="6"/>
  <c r="F9" i="6" s="1"/>
  <c r="G9" i="6" s="1"/>
  <c r="C46" i="6" s="1"/>
  <c r="C9" i="6"/>
  <c r="E7" i="6"/>
  <c r="F7" i="6" s="1"/>
  <c r="G7" i="6" s="1"/>
  <c r="C7" i="6"/>
  <c r="E5" i="6"/>
  <c r="F5" i="6" s="1"/>
  <c r="G5" i="6" s="1"/>
  <c r="C5" i="6"/>
  <c r="G32" i="6"/>
  <c r="E31" i="6"/>
  <c r="F31" i="6" s="1"/>
  <c r="G31" i="6" s="1"/>
  <c r="C53" i="6" s="1"/>
  <c r="C31" i="6"/>
  <c r="E30" i="6"/>
  <c r="F30" i="6" s="1"/>
  <c r="G30" i="6" s="1"/>
  <c r="C30" i="6"/>
  <c r="E29" i="6"/>
  <c r="F29" i="6" s="1"/>
  <c r="G29" i="6" s="1"/>
  <c r="C52" i="6" s="1"/>
  <c r="C29" i="6"/>
  <c r="E28" i="6"/>
  <c r="F28" i="6" s="1"/>
  <c r="G28" i="6" s="1"/>
  <c r="C51" i="6" s="1"/>
  <c r="C28" i="6"/>
  <c r="E27" i="6"/>
  <c r="F27" i="6" s="1"/>
  <c r="G27" i="6" s="1"/>
  <c r="C50" i="6" s="1"/>
  <c r="C27" i="6"/>
  <c r="E26" i="6"/>
  <c r="F26" i="6" s="1"/>
  <c r="G26" i="6" s="1"/>
  <c r="C26" i="6"/>
  <c r="E25" i="6"/>
  <c r="F25" i="6" s="1"/>
  <c r="G25" i="6" s="1"/>
  <c r="C25" i="6"/>
  <c r="E24" i="6"/>
  <c r="F24" i="6" s="1"/>
  <c r="G24" i="6" s="1"/>
  <c r="C24" i="6"/>
  <c r="E23" i="6"/>
  <c r="F23" i="6" s="1"/>
  <c r="G23" i="6" s="1"/>
  <c r="C23" i="6"/>
  <c r="E22" i="6"/>
  <c r="F22" i="6" s="1"/>
  <c r="G22" i="6" s="1"/>
  <c r="C22" i="6"/>
  <c r="E21" i="6"/>
  <c r="F21" i="6" s="1"/>
  <c r="G21" i="6" s="1"/>
  <c r="C21" i="6"/>
  <c r="E19" i="6"/>
  <c r="F19" i="6" s="1"/>
  <c r="G19" i="6" s="1"/>
  <c r="C19" i="6"/>
  <c r="E18" i="6"/>
  <c r="F18" i="6" s="1"/>
  <c r="G18" i="6" s="1"/>
  <c r="C43" i="6" s="1"/>
  <c r="C18" i="6"/>
  <c r="E17" i="6"/>
  <c r="F17" i="6" s="1"/>
  <c r="G17" i="6" s="1"/>
  <c r="C17" i="6"/>
  <c r="E16" i="6"/>
  <c r="F16" i="6" s="1"/>
  <c r="G16" i="6" s="1"/>
  <c r="C16" i="6"/>
  <c r="E15" i="6"/>
  <c r="F15" i="6" s="1"/>
  <c r="G15" i="6" s="1"/>
  <c r="C15" i="6"/>
  <c r="E13" i="6"/>
  <c r="F13" i="6" s="1"/>
  <c r="G13" i="6" s="1"/>
  <c r="C13" i="6"/>
  <c r="E12" i="6"/>
  <c r="F12" i="6" s="1"/>
  <c r="G12" i="6" s="1"/>
  <c r="C12" i="6"/>
  <c r="E11" i="6"/>
  <c r="F11" i="6" s="1"/>
  <c r="G11" i="6" s="1"/>
  <c r="C11" i="6"/>
  <c r="E10" i="6"/>
  <c r="F10" i="6" s="1"/>
  <c r="G10" i="6" s="1"/>
  <c r="C10" i="6"/>
  <c r="L8" i="6"/>
  <c r="E8" i="6" s="1"/>
  <c r="F8" i="6" s="1"/>
  <c r="G8" i="6" s="1"/>
  <c r="E6" i="6"/>
  <c r="F6" i="6" s="1"/>
  <c r="G6" i="6" s="1"/>
  <c r="C6" i="6"/>
  <c r="N4" i="6"/>
  <c r="O4" i="6" s="1"/>
  <c r="E4" i="6"/>
  <c r="F4" i="6" s="1"/>
  <c r="G4" i="6" s="1"/>
  <c r="C4" i="6"/>
  <c r="E23" i="2"/>
  <c r="E9" i="2"/>
  <c r="F9" i="2" s="1"/>
  <c r="G9" i="2" s="1"/>
  <c r="C9" i="2"/>
  <c r="E8" i="2"/>
  <c r="F8" i="2" s="1"/>
  <c r="G8" i="2" s="1"/>
  <c r="C8" i="2"/>
  <c r="E7" i="2"/>
  <c r="C7" i="2"/>
  <c r="G28" i="2"/>
  <c r="F16" i="8" l="1"/>
  <c r="G16" i="8" s="1"/>
  <c r="C39" i="8" s="1"/>
  <c r="N108" i="12"/>
  <c r="C118" i="12" s="1"/>
  <c r="L32" i="11" s="1"/>
  <c r="L29" i="11"/>
  <c r="N8" i="10"/>
  <c r="C40" i="9"/>
  <c r="H30" i="11" s="1"/>
  <c r="N30" i="11" s="1"/>
  <c r="N7" i="11"/>
  <c r="O16" i="8"/>
  <c r="O16" i="7"/>
  <c r="C44" i="8"/>
  <c r="N9" i="10"/>
  <c r="C41" i="9"/>
  <c r="H31" i="11" s="1"/>
  <c r="C47" i="6"/>
  <c r="C48" i="6"/>
  <c r="C45" i="6"/>
  <c r="E8" i="10"/>
  <c r="N20" i="6"/>
  <c r="O20" i="6" s="1"/>
  <c r="N8" i="6"/>
  <c r="O8" i="6" s="1"/>
  <c r="C9" i="10"/>
  <c r="E26" i="9"/>
  <c r="F26" i="9" s="1"/>
  <c r="N21" i="7"/>
  <c r="O21" i="7" s="1"/>
  <c r="N28" i="7"/>
  <c r="O28" i="7" s="1"/>
  <c r="F4" i="9"/>
  <c r="C35" i="9" s="1"/>
  <c r="B6" i="9"/>
  <c r="D6" i="9"/>
  <c r="E6" i="9" s="1"/>
  <c r="F6" i="9" s="1"/>
  <c r="C36" i="9" s="1"/>
  <c r="H14" i="11" s="1"/>
  <c r="N14" i="11" s="1"/>
  <c r="C21" i="8"/>
  <c r="E21" i="8"/>
  <c r="F21" i="8" s="1"/>
  <c r="G21" i="8" s="1"/>
  <c r="C40" i="8" s="1"/>
  <c r="G4" i="8"/>
  <c r="L6" i="8"/>
  <c r="N6" i="8" s="1"/>
  <c r="O6" i="8" s="1"/>
  <c r="C45" i="8" s="1"/>
  <c r="C28" i="8"/>
  <c r="C4" i="8"/>
  <c r="E28" i="7"/>
  <c r="F28" i="7" s="1"/>
  <c r="G28" i="7" s="1"/>
  <c r="C4" i="7"/>
  <c r="E4" i="7"/>
  <c r="F4" i="7" s="1"/>
  <c r="F16" i="7"/>
  <c r="G16" i="7" s="1"/>
  <c r="C41" i="7" s="1"/>
  <c r="E6" i="7"/>
  <c r="F6" i="7" s="1"/>
  <c r="G6" i="7" s="1"/>
  <c r="N4" i="7"/>
  <c r="O4" i="7" s="1"/>
  <c r="E21" i="7"/>
  <c r="F21" i="7" s="1"/>
  <c r="G21" i="7" s="1"/>
  <c r="C42" i="7" s="1"/>
  <c r="C6" i="7"/>
  <c r="E20" i="6"/>
  <c r="F20" i="6" s="1"/>
  <c r="G20" i="6" s="1"/>
  <c r="C44" i="6" s="1"/>
  <c r="C8" i="6"/>
  <c r="E27" i="2"/>
  <c r="F27" i="2" s="1"/>
  <c r="G27" i="2" s="1"/>
  <c r="C48" i="2" s="1"/>
  <c r="G27" i="11" s="1"/>
  <c r="N27" i="11" s="1"/>
  <c r="C27" i="2"/>
  <c r="E26" i="2"/>
  <c r="F26" i="2" s="1"/>
  <c r="G26" i="2" s="1"/>
  <c r="C26" i="2"/>
  <c r="E25" i="2"/>
  <c r="F25" i="2" s="1"/>
  <c r="G25" i="2" s="1"/>
  <c r="C47" i="2" s="1"/>
  <c r="G26" i="11" s="1"/>
  <c r="N26" i="11" s="1"/>
  <c r="C25" i="2"/>
  <c r="E24" i="2"/>
  <c r="F24" i="2" s="1"/>
  <c r="G24" i="2" s="1"/>
  <c r="C46" i="2" s="1"/>
  <c r="G25" i="11" s="1"/>
  <c r="N25" i="11" s="1"/>
  <c r="C24" i="2"/>
  <c r="F23" i="2"/>
  <c r="G23" i="2" s="1"/>
  <c r="C45" i="2" s="1"/>
  <c r="G24" i="11" s="1"/>
  <c r="N24" i="11" s="1"/>
  <c r="C23" i="2"/>
  <c r="E22" i="2"/>
  <c r="F22" i="2" s="1"/>
  <c r="G22" i="2" s="1"/>
  <c r="C22" i="2"/>
  <c r="E21" i="2"/>
  <c r="F21" i="2" s="1"/>
  <c r="G21" i="2" s="1"/>
  <c r="C21" i="2"/>
  <c r="E20" i="2"/>
  <c r="F20" i="2" s="1"/>
  <c r="G20" i="2" s="1"/>
  <c r="C20" i="2"/>
  <c r="E19" i="2"/>
  <c r="F19" i="2" s="1"/>
  <c r="G19" i="2" s="1"/>
  <c r="C19" i="2"/>
  <c r="E18" i="2"/>
  <c r="F18" i="2" s="1"/>
  <c r="G18" i="2" s="1"/>
  <c r="C18" i="2"/>
  <c r="E17" i="2"/>
  <c r="F17" i="2" s="1"/>
  <c r="G17" i="2" s="1"/>
  <c r="C43" i="2" s="1"/>
  <c r="C17" i="2"/>
  <c r="E15" i="2"/>
  <c r="F15" i="2" s="1"/>
  <c r="G15" i="2" s="1"/>
  <c r="C15" i="2"/>
  <c r="E14" i="2"/>
  <c r="F14" i="2" s="1"/>
  <c r="G14" i="2" s="1"/>
  <c r="C39" i="2" s="1"/>
  <c r="C14" i="2"/>
  <c r="L16" i="2"/>
  <c r="L9" i="3"/>
  <c r="C9" i="3" s="1"/>
  <c r="L6" i="2"/>
  <c r="N6" i="2" s="1"/>
  <c r="O6" i="2" s="1"/>
  <c r="C117" i="12" l="1"/>
  <c r="E100" i="12"/>
  <c r="C47" i="7"/>
  <c r="C46" i="7"/>
  <c r="C39" i="9"/>
  <c r="H11" i="11"/>
  <c r="E9" i="3"/>
  <c r="G4" i="7"/>
  <c r="C43" i="7" s="1"/>
  <c r="C44" i="7" s="1"/>
  <c r="D45" i="7" s="1"/>
  <c r="F30" i="7"/>
  <c r="G30" i="7" s="1"/>
  <c r="G15" i="11"/>
  <c r="N15" i="11" s="1"/>
  <c r="C55" i="6"/>
  <c r="E16" i="2"/>
  <c r="N16" i="2"/>
  <c r="O16" i="2" s="1"/>
  <c r="C49" i="6"/>
  <c r="D53" i="6" s="1"/>
  <c r="C54" i="6"/>
  <c r="E9" i="10"/>
  <c r="C10" i="10"/>
  <c r="E10" i="9"/>
  <c r="E6" i="8"/>
  <c r="F6" i="8" s="1"/>
  <c r="F30" i="8" s="1"/>
  <c r="C6" i="8"/>
  <c r="F33" i="6"/>
  <c r="F34" i="6" s="1"/>
  <c r="G34" i="6" s="1"/>
  <c r="C16" i="2"/>
  <c r="F7" i="2"/>
  <c r="G7" i="2" s="1"/>
  <c r="C42" i="2" s="1"/>
  <c r="G12" i="11" s="1"/>
  <c r="N12" i="11" s="1"/>
  <c r="N11" i="11" l="1"/>
  <c r="H29" i="11"/>
  <c r="E101" i="12"/>
  <c r="E102" i="12" s="1"/>
  <c r="C18" i="10"/>
  <c r="E10" i="10"/>
  <c r="E11" i="10" s="1"/>
  <c r="E12" i="10" s="1"/>
  <c r="E13" i="10" s="1"/>
  <c r="N10" i="10"/>
  <c r="C20" i="10" s="1"/>
  <c r="I31" i="11" s="1"/>
  <c r="G33" i="6"/>
  <c r="F10" i="9"/>
  <c r="E11" i="9"/>
  <c r="G6" i="8"/>
  <c r="C41" i="8" s="1"/>
  <c r="G13" i="11" s="1"/>
  <c r="N13" i="11" s="1"/>
  <c r="F31" i="7"/>
  <c r="G31" i="7" s="1"/>
  <c r="F35" i="6"/>
  <c r="G35" i="6" s="1"/>
  <c r="I9" i="11" l="1"/>
  <c r="I29" i="11" s="1"/>
  <c r="C19" i="10"/>
  <c r="C42" i="8"/>
  <c r="D43" i="8" s="1"/>
  <c r="F11" i="9"/>
  <c r="E12" i="9"/>
  <c r="F12" i="9" s="1"/>
  <c r="F31" i="8"/>
  <c r="G31" i="8" s="1"/>
  <c r="G30" i="8"/>
  <c r="F32" i="7"/>
  <c r="G32" i="7" s="1"/>
  <c r="F32" i="8" l="1"/>
  <c r="G32" i="8" s="1"/>
  <c r="N9" i="3"/>
  <c r="O9" i="3" s="1"/>
  <c r="F9" i="3"/>
  <c r="G9" i="3" s="1"/>
  <c r="N8" i="3"/>
  <c r="O8" i="3" s="1"/>
  <c r="E8" i="3"/>
  <c r="F8" i="3" s="1"/>
  <c r="G8" i="3" s="1"/>
  <c r="C19" i="3" s="1"/>
  <c r="G8" i="11" s="1"/>
  <c r="C8" i="3"/>
  <c r="N7" i="3"/>
  <c r="O7" i="3" s="1"/>
  <c r="E7" i="3"/>
  <c r="F7" i="3" s="1"/>
  <c r="G7" i="3" s="1"/>
  <c r="C20" i="3" s="1"/>
  <c r="C7" i="3"/>
  <c r="N6" i="3"/>
  <c r="O6" i="3" s="1"/>
  <c r="E6" i="3"/>
  <c r="F6" i="3" s="1"/>
  <c r="G6" i="3" s="1"/>
  <c r="C6" i="3"/>
  <c r="N5" i="3"/>
  <c r="O5" i="3" s="1"/>
  <c r="E5" i="3"/>
  <c r="F5" i="3" s="1"/>
  <c r="G5" i="3" s="1"/>
  <c r="C5" i="3"/>
  <c r="N4" i="3"/>
  <c r="O4" i="3" s="1"/>
  <c r="E4" i="3"/>
  <c r="F4" i="3" s="1"/>
  <c r="G4" i="3" s="1"/>
  <c r="C4" i="3"/>
  <c r="F16" i="2"/>
  <c r="G16" i="2" s="1"/>
  <c r="E13" i="2"/>
  <c r="F13" i="2" s="1"/>
  <c r="G13" i="2" s="1"/>
  <c r="C13" i="2"/>
  <c r="E12" i="2"/>
  <c r="F12" i="2" s="1"/>
  <c r="G12" i="2" s="1"/>
  <c r="C12" i="2"/>
  <c r="E11" i="2"/>
  <c r="F11" i="2" s="1"/>
  <c r="G11" i="2" s="1"/>
  <c r="C11" i="2"/>
  <c r="E10" i="2"/>
  <c r="F10" i="2" s="1"/>
  <c r="G10" i="2" s="1"/>
  <c r="C10" i="2"/>
  <c r="E6" i="2"/>
  <c r="F6" i="2" s="1"/>
  <c r="G6" i="2" s="1"/>
  <c r="C6" i="2"/>
  <c r="E5" i="2"/>
  <c r="F5" i="2" s="1"/>
  <c r="G5" i="2" s="1"/>
  <c r="C5" i="2"/>
  <c r="N4" i="2"/>
  <c r="O4" i="2" s="1"/>
  <c r="E4" i="2"/>
  <c r="F4" i="2" s="1"/>
  <c r="C4" i="2"/>
  <c r="N8" i="11" l="1"/>
  <c r="C21" i="3"/>
  <c r="C23" i="3"/>
  <c r="C24" i="3"/>
  <c r="C40" i="2"/>
  <c r="C50" i="2"/>
  <c r="G32" i="11" s="1"/>
  <c r="N32" i="11" s="1"/>
  <c r="C49" i="2"/>
  <c r="G31" i="11" s="1"/>
  <c r="N31" i="11" s="1"/>
  <c r="C22" i="3"/>
  <c r="E27" i="9"/>
  <c r="F27" i="9" s="1"/>
  <c r="G4" i="2"/>
  <c r="F29" i="2"/>
  <c r="F10" i="3"/>
  <c r="G10" i="3" s="1"/>
  <c r="G9" i="11" l="1"/>
  <c r="C41" i="2"/>
  <c r="E28" i="9"/>
  <c r="F28" i="9" s="1"/>
  <c r="F30" i="2"/>
  <c r="G29" i="2"/>
  <c r="F11" i="3"/>
  <c r="G11" i="3" s="1"/>
  <c r="N9" i="11" l="1"/>
  <c r="C44" i="2"/>
  <c r="D47" i="2" s="1"/>
  <c r="G10" i="11"/>
  <c r="N10" i="11" s="1"/>
  <c r="F31" i="2"/>
  <c r="G31" i="2" s="1"/>
  <c r="G30" i="2"/>
  <c r="F12" i="3"/>
  <c r="G12" i="3" s="1"/>
  <c r="G29" i="11" l="1"/>
  <c r="N29" i="11" s="1"/>
</calcChain>
</file>

<file path=xl/sharedStrings.xml><?xml version="1.0" encoding="utf-8"?>
<sst xmlns="http://schemas.openxmlformats.org/spreadsheetml/2006/main" count="582" uniqueCount="251">
  <si>
    <t>编号</t>
  </si>
  <si>
    <t>规格(mm)</t>
  </si>
  <si>
    <t>数量</t>
  </si>
  <si>
    <t>单件重(kg)</t>
  </si>
  <si>
    <t>共重(kg)</t>
  </si>
  <si>
    <t>长边</t>
    <phoneticPr fontId="1" type="noConversion"/>
  </si>
  <si>
    <t>厚度</t>
    <phoneticPr fontId="1" type="noConversion"/>
  </si>
  <si>
    <t>短边</t>
    <phoneticPr fontId="1" type="noConversion"/>
  </si>
  <si>
    <t>侧面S</t>
    <phoneticPr fontId="1" type="noConversion"/>
  </si>
  <si>
    <t>FJ1</t>
    <phoneticPr fontId="1" type="noConversion"/>
  </si>
  <si>
    <t>FJ2</t>
  </si>
  <si>
    <t>HG1</t>
    <phoneticPr fontId="1" type="noConversion"/>
  </si>
  <si>
    <t>HG2</t>
  </si>
  <si>
    <t>HG3</t>
  </si>
  <si>
    <t>HJ1</t>
    <phoneticPr fontId="1" type="noConversion"/>
  </si>
  <si>
    <t>HJ2</t>
  </si>
  <si>
    <t>合计（kg）</t>
    <phoneticPr fontId="1" type="noConversion"/>
  </si>
  <si>
    <t>总计（kg）</t>
    <phoneticPr fontId="1" type="noConversion"/>
  </si>
  <si>
    <t>涂装</t>
    <phoneticPr fontId="1" type="noConversion"/>
  </si>
  <si>
    <t>焊缝1.5%（kg）</t>
    <phoneticPr fontId="1" type="noConversion"/>
  </si>
  <si>
    <t>Z1</t>
    <phoneticPr fontId="1" type="noConversion"/>
  </si>
  <si>
    <t>FT1</t>
    <phoneticPr fontId="1" type="noConversion"/>
  </si>
  <si>
    <t>位置</t>
    <phoneticPr fontId="1" type="noConversion"/>
  </si>
  <si>
    <t>顶板</t>
    <phoneticPr fontId="1" type="noConversion"/>
  </si>
  <si>
    <t>底板</t>
    <phoneticPr fontId="1" type="noConversion"/>
  </si>
  <si>
    <t>FD1</t>
    <phoneticPr fontId="1" type="noConversion"/>
  </si>
  <si>
    <t>FF1</t>
    <phoneticPr fontId="1" type="noConversion"/>
  </si>
  <si>
    <t>腹板</t>
    <phoneticPr fontId="1" type="noConversion"/>
  </si>
  <si>
    <t>横隔</t>
    <phoneticPr fontId="1" type="noConversion"/>
  </si>
  <si>
    <t>加劲</t>
    <phoneticPr fontId="1" type="noConversion"/>
  </si>
  <si>
    <t>J1</t>
    <phoneticPr fontId="1" type="noConversion"/>
  </si>
  <si>
    <t>全桥合计(共4段)</t>
    <phoneticPr fontId="1" type="noConversion"/>
  </si>
  <si>
    <t>HG3a</t>
    <phoneticPr fontId="1" type="noConversion"/>
  </si>
  <si>
    <t>FF2</t>
  </si>
  <si>
    <t>副拱顶板</t>
    <phoneticPr fontId="1" type="noConversion"/>
  </si>
  <si>
    <t>副拱底板</t>
    <phoneticPr fontId="1" type="noConversion"/>
  </si>
  <si>
    <t>副拱腹板</t>
    <phoneticPr fontId="1" type="noConversion"/>
  </si>
  <si>
    <t>副拱横隔</t>
    <phoneticPr fontId="1" type="noConversion"/>
  </si>
  <si>
    <t>副拱加劲</t>
    <phoneticPr fontId="1" type="noConversion"/>
  </si>
  <si>
    <t>连杆顶板</t>
    <phoneticPr fontId="1" type="noConversion"/>
  </si>
  <si>
    <t>连杆底板</t>
    <phoneticPr fontId="1" type="noConversion"/>
  </si>
  <si>
    <t>LT1</t>
    <phoneticPr fontId="1" type="noConversion"/>
  </si>
  <si>
    <t>LD1</t>
    <phoneticPr fontId="1" type="noConversion"/>
  </si>
  <si>
    <t>连杆腹板</t>
    <phoneticPr fontId="1" type="noConversion"/>
  </si>
  <si>
    <t>LF1</t>
    <phoneticPr fontId="1" type="noConversion"/>
  </si>
  <si>
    <t>LF2</t>
  </si>
  <si>
    <t>连杆横隔</t>
    <phoneticPr fontId="1" type="noConversion"/>
  </si>
  <si>
    <t>LG1</t>
    <phoneticPr fontId="1" type="noConversion"/>
  </si>
  <si>
    <t>LG2</t>
  </si>
  <si>
    <t>转轴</t>
    <phoneticPr fontId="1" type="noConversion"/>
  </si>
  <si>
    <t>A1</t>
    <phoneticPr fontId="1" type="noConversion"/>
  </si>
  <si>
    <t>A2</t>
  </si>
  <si>
    <t>A3</t>
  </si>
  <si>
    <t>A4</t>
  </si>
  <si>
    <t>A5</t>
  </si>
  <si>
    <t>M30螺栓</t>
    <phoneticPr fontId="1" type="noConversion"/>
  </si>
  <si>
    <t>M30×70 GB/T 70.1 10.9</t>
  </si>
  <si>
    <t>-</t>
    <phoneticPr fontId="1" type="noConversion"/>
  </si>
  <si>
    <t>FT2</t>
  </si>
  <si>
    <t>FD2</t>
  </si>
  <si>
    <t>FF2</t>
    <phoneticPr fontId="1" type="noConversion"/>
  </si>
  <si>
    <t>FF3</t>
  </si>
  <si>
    <t>HG1a</t>
    <phoneticPr fontId="1" type="noConversion"/>
  </si>
  <si>
    <t>牌号</t>
    <phoneticPr fontId="1" type="noConversion"/>
  </si>
  <si>
    <t>HG4</t>
    <phoneticPr fontId="1" type="noConversion"/>
  </si>
  <si>
    <t>HJ2a</t>
    <phoneticPr fontId="1" type="noConversion"/>
  </si>
  <si>
    <t>HJ3</t>
    <phoneticPr fontId="1" type="noConversion"/>
  </si>
  <si>
    <t>HJ4</t>
  </si>
  <si>
    <t>HG5</t>
  </si>
  <si>
    <t>连梁顶板</t>
    <phoneticPr fontId="1" type="noConversion"/>
  </si>
  <si>
    <t>连梁底板</t>
    <phoneticPr fontId="1" type="noConversion"/>
  </si>
  <si>
    <t>连梁腹板</t>
    <phoneticPr fontId="1" type="noConversion"/>
  </si>
  <si>
    <t>HJ5</t>
    <phoneticPr fontId="1" type="noConversion"/>
  </si>
  <si>
    <t>LJ1</t>
    <phoneticPr fontId="1" type="noConversion"/>
  </si>
  <si>
    <t>全桥合计(共2段)</t>
    <phoneticPr fontId="1" type="noConversion"/>
  </si>
  <si>
    <t>HG4a</t>
    <phoneticPr fontId="1" type="noConversion"/>
  </si>
  <si>
    <t>连梁横隔</t>
    <phoneticPr fontId="1" type="noConversion"/>
  </si>
  <si>
    <t>连梁加劲</t>
    <phoneticPr fontId="1" type="noConversion"/>
  </si>
  <si>
    <t>调平钢板</t>
    <phoneticPr fontId="1" type="noConversion"/>
  </si>
  <si>
    <t>D1</t>
    <phoneticPr fontId="1" type="noConversion"/>
  </si>
  <si>
    <t>D2</t>
  </si>
  <si>
    <t>D3</t>
  </si>
  <si>
    <t>D4</t>
  </si>
  <si>
    <t>D5</t>
  </si>
  <si>
    <t>单个吊点</t>
    <phoneticPr fontId="1" type="noConversion"/>
  </si>
  <si>
    <t>全桥合计(共38段)</t>
    <phoneticPr fontId="1" type="noConversion"/>
  </si>
  <si>
    <t>D6</t>
  </si>
  <si>
    <t>螺栓</t>
    <phoneticPr fontId="1" type="noConversion"/>
  </si>
  <si>
    <t>M30</t>
    <phoneticPr fontId="1" type="noConversion"/>
  </si>
  <si>
    <t>D2a</t>
    <phoneticPr fontId="1" type="noConversion"/>
  </si>
  <si>
    <t>D3</t>
    <phoneticPr fontId="1" type="noConversion"/>
  </si>
  <si>
    <t>全桥合计(共8段)</t>
    <phoneticPr fontId="1" type="noConversion"/>
  </si>
  <si>
    <t>Z2</t>
    <phoneticPr fontId="1" type="noConversion"/>
  </si>
  <si>
    <t>t=10</t>
    <phoneticPr fontId="1" type="noConversion"/>
  </si>
  <si>
    <t>t=12</t>
    <phoneticPr fontId="1" type="noConversion"/>
  </si>
  <si>
    <t>t=16</t>
    <phoneticPr fontId="1" type="noConversion"/>
  </si>
  <si>
    <t>t=20</t>
    <phoneticPr fontId="1" type="noConversion"/>
  </si>
  <si>
    <t>t=24</t>
    <phoneticPr fontId="1" type="noConversion"/>
  </si>
  <si>
    <t>t=32</t>
    <phoneticPr fontId="1" type="noConversion"/>
  </si>
  <si>
    <t>t=282</t>
    <phoneticPr fontId="1" type="noConversion"/>
  </si>
  <si>
    <t>D200</t>
    <phoneticPr fontId="1" type="noConversion"/>
  </si>
  <si>
    <t>合计</t>
    <phoneticPr fontId="1" type="noConversion"/>
  </si>
  <si>
    <t>外涂</t>
    <phoneticPr fontId="1" type="noConversion"/>
  </si>
  <si>
    <t>内涂</t>
    <phoneticPr fontId="1" type="noConversion"/>
  </si>
  <si>
    <t>铸钢</t>
    <phoneticPr fontId="1" type="noConversion"/>
  </si>
  <si>
    <t>ZG310-570</t>
  </si>
  <si>
    <t>ZG310-570</t>
    <phoneticPr fontId="1" type="noConversion"/>
  </si>
  <si>
    <t>Q355D</t>
  </si>
  <si>
    <t>Q355D</t>
    <phoneticPr fontId="1" type="noConversion"/>
  </si>
  <si>
    <t>材料名称</t>
  </si>
  <si>
    <t>规格</t>
  </si>
  <si>
    <t>单位</t>
  </si>
  <si>
    <t>钢材</t>
    <phoneticPr fontId="1" type="noConversion"/>
  </si>
  <si>
    <t>kg</t>
  </si>
  <si>
    <t>t=8</t>
    <phoneticPr fontId="1" type="noConversion"/>
  </si>
  <si>
    <t>小计</t>
  </si>
  <si>
    <t>40Cr</t>
  </si>
  <si>
    <t>40Cr</t>
    <phoneticPr fontId="1" type="noConversion"/>
  </si>
  <si>
    <t>S355N</t>
  </si>
  <si>
    <t>30Mn</t>
  </si>
  <si>
    <t>副拱</t>
    <phoneticPr fontId="1" type="noConversion"/>
  </si>
  <si>
    <t>t=40</t>
    <phoneticPr fontId="1" type="noConversion"/>
  </si>
  <si>
    <t>t=50</t>
    <phoneticPr fontId="1" type="noConversion"/>
  </si>
  <si>
    <t>t=110</t>
    <phoneticPr fontId="1" type="noConversion"/>
  </si>
  <si>
    <t>吊点</t>
    <phoneticPr fontId="1" type="noConversion"/>
  </si>
  <si>
    <t>装饰板</t>
    <phoneticPr fontId="1" type="noConversion"/>
  </si>
  <si>
    <t>t=18</t>
    <phoneticPr fontId="1" type="noConversion"/>
  </si>
  <si>
    <t>t=28</t>
    <phoneticPr fontId="1" type="noConversion"/>
  </si>
  <si>
    <t>t=36</t>
    <phoneticPr fontId="1" type="noConversion"/>
  </si>
  <si>
    <t>套</t>
    <phoneticPr fontId="1" type="noConversion"/>
  </si>
  <si>
    <t>外表面涂装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</si>
  <si>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</si>
  <si>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内表面涂装</t>
    <phoneticPr fontId="1" type="noConversion"/>
  </si>
  <si>
    <t>主拱肋</t>
    <phoneticPr fontId="1" type="noConversion"/>
  </si>
  <si>
    <t>kg</t>
    <phoneticPr fontId="1" type="noConversion"/>
  </si>
  <si>
    <t>t=60</t>
    <phoneticPr fontId="1" type="noConversion"/>
  </si>
  <si>
    <t>横撑</t>
    <phoneticPr fontId="1" type="noConversion"/>
  </si>
  <si>
    <t>爬梯编号</t>
  </si>
  <si>
    <t>踏步数</t>
  </si>
  <si>
    <t>α°</t>
    <phoneticPr fontId="1" type="noConversion"/>
  </si>
  <si>
    <t>N1</t>
    <phoneticPr fontId="1" type="noConversion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</si>
  <si>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</si>
  <si>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</si>
  <si>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</si>
  <si>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</si>
  <si>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</si>
  <si>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</si>
  <si>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</si>
  <si>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</si>
  <si>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</si>
  <si>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</si>
  <si>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</si>
  <si>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</si>
  <si>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</si>
  <si>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</si>
  <si>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</si>
  <si>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</si>
  <si>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</si>
  <si>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</si>
  <si>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</si>
  <si>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</si>
  <si>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</si>
  <si>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</si>
  <si>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</si>
  <si>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</si>
  <si>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</si>
  <si>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</si>
  <si>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</si>
  <si>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</si>
  <si>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</si>
  <si>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</si>
  <si>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</si>
  <si>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</si>
  <si>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</si>
  <si>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</si>
  <si>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</si>
  <si>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</si>
  <si>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</si>
  <si>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</si>
  <si>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</si>
  <si>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</si>
  <si>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</si>
  <si>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</si>
  <si>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</si>
  <si>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</si>
  <si>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</si>
  <si>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</si>
  <si>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</si>
  <si>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</si>
  <si>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</si>
  <si>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H（mm）</t>
    <phoneticPr fontId="1" type="noConversion"/>
  </si>
  <si>
    <t>L（mm）</t>
    <phoneticPr fontId="1" type="noConversion"/>
  </si>
  <si>
    <t>A（mm）</t>
    <phoneticPr fontId="1" type="noConversion"/>
  </si>
  <si>
    <t>B（mm）</t>
    <phoneticPr fontId="1" type="noConversion"/>
  </si>
  <si>
    <t>C（mm）</t>
    <phoneticPr fontId="1" type="noConversion"/>
  </si>
  <si>
    <t>槽钢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</si>
  <si>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</si>
  <si>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</si>
  <si>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</si>
  <si>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</si>
  <si>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</si>
  <si>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</si>
  <si>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</si>
  <si>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</si>
  <si>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</si>
  <si>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</si>
  <si>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</si>
  <si>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</si>
  <si>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</si>
  <si>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</si>
  <si>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</si>
  <si>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</si>
  <si>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</si>
  <si>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</si>
  <si>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</si>
  <si>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</si>
  <si>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</si>
  <si>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</si>
  <si>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</si>
  <si>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</si>
  <si>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</si>
  <si>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</si>
  <si>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</si>
  <si>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</si>
  <si>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</si>
  <si>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</si>
  <si>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</si>
  <si>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</si>
  <si>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</si>
  <si>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</si>
  <si>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</si>
  <si>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</si>
  <si>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</si>
  <si>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</si>
  <si>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扶手钢管</t>
    <phoneticPr fontId="1" type="noConversion"/>
  </si>
  <si>
    <t>菱形花纹踏板</t>
  </si>
  <si>
    <t>主拱</t>
    <phoneticPr fontId="1" type="noConversion"/>
  </si>
  <si>
    <t>工地连接</t>
    <phoneticPr fontId="1" type="noConversion"/>
  </si>
  <si>
    <t>匹配件</t>
    <phoneticPr fontId="1" type="noConversion"/>
  </si>
  <si>
    <t>t=42</t>
    <phoneticPr fontId="1" type="noConversion"/>
  </si>
  <si>
    <t>爬梯</t>
    <phoneticPr fontId="1" type="noConversion"/>
  </si>
  <si>
    <t>Q235B</t>
    <phoneticPr fontId="1" type="noConversion"/>
  </si>
  <si>
    <t>t=6</t>
    <phoneticPr fontId="1" type="noConversion"/>
  </si>
  <si>
    <t>t=4</t>
    <phoneticPr fontId="1" type="noConversion"/>
  </si>
  <si>
    <t>φ40×4(均2280)</t>
    <phoneticPr fontId="1" type="noConversion"/>
  </si>
  <si>
    <t>φ40×4(均1978)</t>
    <phoneticPr fontId="1" type="noConversion"/>
  </si>
  <si>
    <t>HG5a</t>
    <phoneticPr fontId="1" type="noConversion"/>
  </si>
  <si>
    <t>HG5b</t>
    <phoneticPr fontId="1" type="noConversion"/>
  </si>
  <si>
    <t>M16螺栓</t>
    <phoneticPr fontId="1" type="noConversion"/>
  </si>
  <si>
    <t>M16螺栓(个)</t>
    <phoneticPr fontId="1" type="noConversion"/>
  </si>
  <si>
    <t>t=8 橡胶条(m)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</si>
</sst>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"/>
    <numFmt numFmtId="178" formatCode="&quot;均&quot;0.0"/>
    <numFmt numFmtId="179" formatCode="&quot;共&quot;0.0"/>
    <numFmt numFmtId="180" formatCode="0&quot;(套)&quot;"/>
    <numFmt numFmtId="181" formatCode="0.000"/>
    <numFmt numFmtId="182" formatCode="0.000_ "/>
    <numFmt numFmtId="183" formatCode="0.00_ "/>
    <numFmt numFmtId="184" formatCode="0.000000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7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C4CE-AC73-4A76-9DB5-56EB79E4C2CB}">
  <dimension ref="A3:O55"/>
  <sheetViews>
    <sheetView topLeftCell="A13" workbookViewId="0">
      <selection activeCell="G32" sqref="G32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8" width="10.33203125" style="1" customWidth="1"/>
    <col min="9" max="16384" width="9" style="1"/>
  </cols>
  <sheetData>
    <row r="3" spans="1:15" ht="13.5" customHeight="1" x14ac:dyDescent="0.25">
      <c r="A3" s="4" t="s">
        <v>22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31</v>
      </c>
      <c r="H3" s="4" t="s">
        <v>63</v>
      </c>
      <c r="J3" s="1" t="s">
        <v>7</v>
      </c>
      <c r="K3" s="1" t="s">
        <v>6</v>
      </c>
      <c r="L3" s="1" t="s">
        <v>5</v>
      </c>
      <c r="M3" s="1" t="s">
        <v>8</v>
      </c>
      <c r="N3" s="33" t="s">
        <v>18</v>
      </c>
      <c r="O3" s="33"/>
    </row>
    <row r="4" spans="1:15" x14ac:dyDescent="0.25">
      <c r="A4" s="38" t="s">
        <v>34</v>
      </c>
      <c r="B4" s="2" t="s">
        <v>21</v>
      </c>
      <c r="C4" s="2" t="str">
        <f t="shared" ref="C4:C19" si="0">CONCATENATE("□",J4,"×",K4,"×",L4)</f>
        <v>□1508×16×19266</v>
      </c>
      <c r="D4" s="2">
        <v>1</v>
      </c>
      <c r="E4" s="3">
        <f t="shared" ref="E4:E19" si="1">IF(M4&gt;0,(M4*K4/1000000000*7850),(J4*K4*L4/1000000000*7850))</f>
        <v>3649.0728767999999</v>
      </c>
      <c r="F4" s="3">
        <f t="shared" ref="F4:F31" si="2">D4*E4</f>
        <v>3649.0728767999999</v>
      </c>
      <c r="G4" s="8">
        <f>F4*4</f>
        <v>14596.2915072</v>
      </c>
      <c r="H4" s="34" t="s">
        <v>108</v>
      </c>
      <c r="J4" s="5">
        <v>1508</v>
      </c>
      <c r="K4" s="1">
        <v>16</v>
      </c>
      <c r="L4" s="1">
        <v>19266</v>
      </c>
      <c r="N4" s="6">
        <f>IF(M4&gt;0,(M4*2/1000000),(J4*L4*2/1000000))</f>
        <v>58.106256000000002</v>
      </c>
      <c r="O4" s="1">
        <f>N4*D4*4</f>
        <v>232.42502400000001</v>
      </c>
    </row>
    <row r="5" spans="1:15" x14ac:dyDescent="0.25">
      <c r="A5" s="39"/>
      <c r="B5" s="2" t="s">
        <v>58</v>
      </c>
      <c r="C5" s="2" t="str">
        <f t="shared" ref="C5" si="3">CONCATENATE("□",J5,"×",K5,"×",L5)</f>
        <v>□2772×24×9596</v>
      </c>
      <c r="D5" s="2">
        <v>1</v>
      </c>
      <c r="E5" s="3">
        <f t="shared" ref="E5" si="4">IF(M5&gt;0,(M5*K5/1000000000*7850),(J5*K5*L5/1000000000*7850))</f>
        <v>3868.9978487999997</v>
      </c>
      <c r="F5" s="3">
        <f t="shared" ref="F5" si="5">D5*E5</f>
        <v>3868.9978487999997</v>
      </c>
      <c r="G5" s="8">
        <f>F5*4</f>
        <v>15475.991395199999</v>
      </c>
      <c r="H5" s="35"/>
      <c r="J5" s="5">
        <v>2772</v>
      </c>
      <c r="K5" s="1">
        <v>24</v>
      </c>
      <c r="L5" s="1">
        <v>9596</v>
      </c>
      <c r="M5" s="1">
        <v>20536082</v>
      </c>
      <c r="N5" s="6">
        <f t="shared" ref="N5:N30" si="6">IF(M5&gt;0,(M5*2/1000000),(J5*L5*2/1000000))</f>
        <v>41.072164000000001</v>
      </c>
      <c r="O5" s="1">
        <f t="shared" ref="O5:O30" si="7">N5*D5*4</f>
        <v>164.288656</v>
      </c>
    </row>
    <row r="6" spans="1:15" x14ac:dyDescent="0.25">
      <c r="A6" s="38" t="s">
        <v>35</v>
      </c>
      <c r="B6" s="2" t="s">
        <v>25</v>
      </c>
      <c r="C6" s="2" t="str">
        <f t="shared" si="0"/>
        <v>□1000×16×19197</v>
      </c>
      <c r="D6" s="2">
        <v>1</v>
      </c>
      <c r="E6" s="3">
        <f t="shared" si="1"/>
        <v>2411.1432</v>
      </c>
      <c r="F6" s="3">
        <f t="shared" si="2"/>
        <v>2411.1432</v>
      </c>
      <c r="G6" s="8">
        <f t="shared" ref="G6:G35" si="8">F6*4</f>
        <v>9644.5727999999999</v>
      </c>
      <c r="H6" s="35"/>
      <c r="J6" s="5">
        <v>1000</v>
      </c>
      <c r="K6" s="1">
        <v>16</v>
      </c>
      <c r="L6" s="1">
        <v>19197</v>
      </c>
      <c r="N6" s="6">
        <f t="shared" si="6"/>
        <v>38.393999999999998</v>
      </c>
      <c r="O6" s="1">
        <f t="shared" si="7"/>
        <v>153.57599999999999</v>
      </c>
    </row>
    <row r="7" spans="1:15" x14ac:dyDescent="0.25">
      <c r="A7" s="39"/>
      <c r="B7" s="2" t="s">
        <v>59</v>
      </c>
      <c r="C7" s="2" t="str">
        <f t="shared" ref="C7" si="9">CONCATENATE("□",J7,"×",K7,"×",L7)</f>
        <v>□2256×24×9557</v>
      </c>
      <c r="D7" s="2">
        <v>1</v>
      </c>
      <c r="E7" s="3">
        <f t="shared" ref="E7" si="10">IF(M7&gt;0,(M7*K7/1000000000*7850),(J7*K7*L7/1000000000*7850))</f>
        <v>2931.3719413967997</v>
      </c>
      <c r="F7" s="3">
        <f t="shared" ref="F7" si="11">D7*E7</f>
        <v>2931.3719413967997</v>
      </c>
      <c r="G7" s="8">
        <f t="shared" ref="G7" si="12">F7*4</f>
        <v>11725.487765587199</v>
      </c>
      <c r="H7" s="35"/>
      <c r="J7" s="5">
        <v>2256</v>
      </c>
      <c r="K7" s="1">
        <v>24</v>
      </c>
      <c r="L7" s="1">
        <v>9557</v>
      </c>
      <c r="M7" s="1">
        <v>15559299.051999999</v>
      </c>
      <c r="N7" s="6">
        <f t="shared" si="6"/>
        <v>31.118598104</v>
      </c>
      <c r="O7" s="1">
        <f t="shared" si="7"/>
        <v>124.474392416</v>
      </c>
    </row>
    <row r="8" spans="1:15" x14ac:dyDescent="0.25">
      <c r="A8" s="38" t="s">
        <v>36</v>
      </c>
      <c r="B8" s="4" t="s">
        <v>26</v>
      </c>
      <c r="C8" s="2" t="str">
        <f t="shared" si="0"/>
        <v>□1064×16×19266</v>
      </c>
      <c r="D8" s="2">
        <v>2</v>
      </c>
      <c r="E8" s="3">
        <f t="shared" si="1"/>
        <v>2574.6774144000001</v>
      </c>
      <c r="F8" s="3">
        <f t="shared" si="2"/>
        <v>5149.3548288000002</v>
      </c>
      <c r="G8" s="8">
        <f t="shared" si="8"/>
        <v>20597.419315200001</v>
      </c>
      <c r="H8" s="35"/>
      <c r="J8" s="5">
        <v>1064</v>
      </c>
      <c r="K8" s="1">
        <v>16</v>
      </c>
      <c r="L8" s="1">
        <f>L4</f>
        <v>19266</v>
      </c>
      <c r="N8" s="6">
        <f t="shared" si="6"/>
        <v>40.998047999999997</v>
      </c>
      <c r="O8" s="1">
        <f t="shared" si="7"/>
        <v>327.98438399999998</v>
      </c>
    </row>
    <row r="9" spans="1:15" x14ac:dyDescent="0.25">
      <c r="A9" s="40"/>
      <c r="B9" s="4" t="s">
        <v>60</v>
      </c>
      <c r="C9" s="2" t="str">
        <f t="shared" ref="C9" si="13">CONCATENATE("□",J9,"×",K9,"×",L9)</f>
        <v>□1000×20×2339</v>
      </c>
      <c r="D9" s="2">
        <v>2</v>
      </c>
      <c r="E9" s="3">
        <f t="shared" ref="E9" si="14">IF(M9&gt;0,(M9*K9/1000000000*7850),(J9*K9*L9/1000000000*7850))</f>
        <v>305.18623463469999</v>
      </c>
      <c r="F9" s="3">
        <f t="shared" ref="F9" si="15">D9*E9</f>
        <v>610.37246926939997</v>
      </c>
      <c r="G9" s="8">
        <f t="shared" ref="G9" si="16">F9*4</f>
        <v>2441.4898770775999</v>
      </c>
      <c r="H9" s="35"/>
      <c r="J9" s="5">
        <v>1000</v>
      </c>
      <c r="K9" s="1">
        <v>20</v>
      </c>
      <c r="L9" s="1">
        <v>2339</v>
      </c>
      <c r="M9" s="1">
        <v>1943861.3670999999</v>
      </c>
      <c r="N9" s="6">
        <f t="shared" si="6"/>
        <v>3.8877227342</v>
      </c>
      <c r="O9" s="1">
        <f t="shared" si="7"/>
        <v>31.1017818736</v>
      </c>
    </row>
    <row r="10" spans="1:15" x14ac:dyDescent="0.25">
      <c r="A10" s="40"/>
      <c r="B10" s="4" t="s">
        <v>61</v>
      </c>
      <c r="C10" s="2" t="str">
        <f t="shared" si="0"/>
        <v>□1081×24×9577</v>
      </c>
      <c r="D10" s="2">
        <v>2</v>
      </c>
      <c r="E10" s="3">
        <f t="shared" si="1"/>
        <v>1935.0933351606</v>
      </c>
      <c r="F10" s="3">
        <f t="shared" si="2"/>
        <v>3870.1866703211999</v>
      </c>
      <c r="G10" s="8">
        <f t="shared" si="8"/>
        <v>15480.7466812848</v>
      </c>
      <c r="H10" s="35"/>
      <c r="J10" s="5">
        <v>1081</v>
      </c>
      <c r="K10" s="1">
        <v>24</v>
      </c>
      <c r="L10" s="1">
        <v>9577</v>
      </c>
      <c r="M10" s="1">
        <v>10271196.046499999</v>
      </c>
      <c r="N10" s="6">
        <f t="shared" si="6"/>
        <v>20.542392093</v>
      </c>
      <c r="O10" s="1">
        <f t="shared" si="7"/>
        <v>164.339136744</v>
      </c>
    </row>
    <row r="11" spans="1:15" x14ac:dyDescent="0.25">
      <c r="A11" s="40"/>
      <c r="B11" s="4" t="s">
        <v>9</v>
      </c>
      <c r="C11" s="2" t="str">
        <f t="shared" si="0"/>
        <v>□1657×12×120</v>
      </c>
      <c r="D11" s="2">
        <v>2</v>
      </c>
      <c r="E11" s="3">
        <f t="shared" si="1"/>
        <v>18.730727999999999</v>
      </c>
      <c r="F11" s="3">
        <f t="shared" si="2"/>
        <v>37.461455999999998</v>
      </c>
      <c r="G11" s="8">
        <f t="shared" si="8"/>
        <v>149.84582399999999</v>
      </c>
      <c r="H11" s="35"/>
      <c r="J11" s="5">
        <v>1657</v>
      </c>
      <c r="K11" s="1">
        <v>12</v>
      </c>
      <c r="L11" s="1">
        <v>120</v>
      </c>
      <c r="N11" s="6">
        <f t="shared" si="6"/>
        <v>0.39767999999999998</v>
      </c>
      <c r="O11" s="1">
        <f t="shared" si="7"/>
        <v>3.1814399999999998</v>
      </c>
    </row>
    <row r="12" spans="1:15" x14ac:dyDescent="0.25">
      <c r="A12" s="39"/>
      <c r="B12" s="4" t="s">
        <v>10</v>
      </c>
      <c r="C12" s="2" t="str">
        <f t="shared" si="0"/>
        <v>□1457×12×120</v>
      </c>
      <c r="D12" s="2">
        <v>2</v>
      </c>
      <c r="E12" s="3">
        <f t="shared" si="1"/>
        <v>16.469927999999999</v>
      </c>
      <c r="F12" s="3">
        <f t="shared" si="2"/>
        <v>32.939855999999999</v>
      </c>
      <c r="G12" s="8">
        <f t="shared" si="8"/>
        <v>131.759424</v>
      </c>
      <c r="H12" s="35"/>
      <c r="J12" s="5">
        <v>1457</v>
      </c>
      <c r="K12" s="1">
        <v>12</v>
      </c>
      <c r="L12" s="1">
        <v>120</v>
      </c>
      <c r="N12" s="6">
        <f t="shared" si="6"/>
        <v>0.34967999999999999</v>
      </c>
      <c r="O12" s="1">
        <f t="shared" si="7"/>
        <v>2.7974399999999999</v>
      </c>
    </row>
    <row r="13" spans="1:15" x14ac:dyDescent="0.25">
      <c r="A13" s="38" t="s">
        <v>37</v>
      </c>
      <c r="B13" s="4" t="s">
        <v>11</v>
      </c>
      <c r="C13" s="2" t="str">
        <f t="shared" si="0"/>
        <v>□1000×12×1500</v>
      </c>
      <c r="D13" s="2">
        <v>6</v>
      </c>
      <c r="E13" s="3">
        <f t="shared" si="1"/>
        <v>89.037228802139992</v>
      </c>
      <c r="F13" s="3">
        <f t="shared" si="2"/>
        <v>534.2233728128399</v>
      </c>
      <c r="G13" s="8">
        <f t="shared" si="8"/>
        <v>2136.8934912513596</v>
      </c>
      <c r="H13" s="35"/>
      <c r="J13" s="5">
        <v>1000</v>
      </c>
      <c r="K13" s="1">
        <v>12</v>
      </c>
      <c r="L13" s="1">
        <v>1500</v>
      </c>
      <c r="M13" s="1">
        <v>945193.51170000003</v>
      </c>
      <c r="N13" s="6">
        <f t="shared" si="6"/>
        <v>1.8903870234</v>
      </c>
      <c r="O13" s="1">
        <f t="shared" si="7"/>
        <v>45.369288561600001</v>
      </c>
    </row>
    <row r="14" spans="1:15" x14ac:dyDescent="0.25">
      <c r="A14" s="40"/>
      <c r="B14" s="4" t="s">
        <v>62</v>
      </c>
      <c r="C14" s="10" t="str">
        <f>CONCATENATE("□",J14,"×",K14,"×",L14,"(平均)")</f>
        <v>□1000×12×2300(平均)</v>
      </c>
      <c r="D14" s="2">
        <v>3</v>
      </c>
      <c r="E14" s="11">
        <f>IF(M14&gt;0,(M14*K14/1000000000*7850),(J14*K14*L14/1000000000*7850))</f>
        <v>142.78726127004001</v>
      </c>
      <c r="F14" s="3">
        <f t="shared" ref="F14" si="17">D14*E14</f>
        <v>428.36178381012002</v>
      </c>
      <c r="G14" s="8">
        <f t="shared" ref="G14" si="18">F14*4</f>
        <v>1713.4471352404801</v>
      </c>
      <c r="H14" s="35"/>
      <c r="J14" s="5">
        <v>1000</v>
      </c>
      <c r="K14" s="1">
        <v>12</v>
      </c>
      <c r="L14" s="1">
        <f>(1836+2764)/2</f>
        <v>2300</v>
      </c>
      <c r="M14" s="1">
        <v>1515788.3362</v>
      </c>
      <c r="N14" s="6">
        <f t="shared" si="6"/>
        <v>3.0315766723999999</v>
      </c>
      <c r="O14" s="1">
        <f t="shared" si="7"/>
        <v>36.378920068799999</v>
      </c>
    </row>
    <row r="15" spans="1:15" x14ac:dyDescent="0.25">
      <c r="A15" s="40"/>
      <c r="B15" s="4" t="s">
        <v>12</v>
      </c>
      <c r="C15" s="2" t="str">
        <f t="shared" si="0"/>
        <v>□1000×16×1500</v>
      </c>
      <c r="D15" s="2">
        <v>2</v>
      </c>
      <c r="E15" s="3">
        <f t="shared" si="1"/>
        <v>127.00063455440001</v>
      </c>
      <c r="F15" s="3">
        <f t="shared" si="2"/>
        <v>254.00126910880002</v>
      </c>
      <c r="G15" s="8">
        <f t="shared" si="8"/>
        <v>1016.0050764352001</v>
      </c>
      <c r="H15" s="35"/>
      <c r="J15" s="5">
        <v>1000</v>
      </c>
      <c r="K15" s="1">
        <v>16</v>
      </c>
      <c r="L15" s="1">
        <v>1500</v>
      </c>
      <c r="M15" s="1">
        <v>1011151.549</v>
      </c>
      <c r="N15" s="6">
        <f t="shared" si="6"/>
        <v>2.0223030980000001</v>
      </c>
      <c r="O15" s="1">
        <f t="shared" si="7"/>
        <v>16.178424784000001</v>
      </c>
    </row>
    <row r="16" spans="1:15" x14ac:dyDescent="0.25">
      <c r="A16" s="40"/>
      <c r="B16" s="4" t="s">
        <v>13</v>
      </c>
      <c r="C16" s="2" t="str">
        <f t="shared" si="0"/>
        <v>□509×16×1000</v>
      </c>
      <c r="D16" s="2">
        <v>2</v>
      </c>
      <c r="E16" s="3">
        <f t="shared" si="1"/>
        <v>47.747034554399995</v>
      </c>
      <c r="F16" s="3">
        <f t="shared" si="2"/>
        <v>95.494069108799991</v>
      </c>
      <c r="G16" s="8">
        <f t="shared" si="8"/>
        <v>381.97627643519996</v>
      </c>
      <c r="H16" s="35"/>
      <c r="J16" s="5">
        <v>509</v>
      </c>
      <c r="K16" s="1">
        <v>16</v>
      </c>
      <c r="L16" s="1">
        <v>1000</v>
      </c>
      <c r="M16" s="1">
        <v>380151.549</v>
      </c>
      <c r="N16" s="6">
        <f t="shared" si="6"/>
        <v>0.76030309799999996</v>
      </c>
      <c r="O16" s="1">
        <f t="shared" si="7"/>
        <v>6.0824247839999996</v>
      </c>
    </row>
    <row r="17" spans="1:15" x14ac:dyDescent="0.25">
      <c r="A17" s="40"/>
      <c r="B17" s="4" t="s">
        <v>32</v>
      </c>
      <c r="C17" s="2" t="str">
        <f t="shared" si="0"/>
        <v>□442×16×500</v>
      </c>
      <c r="D17" s="2">
        <v>1</v>
      </c>
      <c r="E17" s="3">
        <f t="shared" si="1"/>
        <v>27.2742345544</v>
      </c>
      <c r="F17" s="3">
        <f t="shared" si="2"/>
        <v>27.2742345544</v>
      </c>
      <c r="G17" s="8">
        <f t="shared" si="8"/>
        <v>109.0969382176</v>
      </c>
      <c r="H17" s="35"/>
      <c r="J17" s="5">
        <v>442</v>
      </c>
      <c r="K17" s="1">
        <v>16</v>
      </c>
      <c r="L17" s="1">
        <v>500</v>
      </c>
      <c r="M17" s="1">
        <v>217151.549</v>
      </c>
      <c r="N17" s="6">
        <f t="shared" si="6"/>
        <v>0.434303098</v>
      </c>
      <c r="O17" s="1">
        <f t="shared" si="7"/>
        <v>1.737212392</v>
      </c>
    </row>
    <row r="18" spans="1:15" x14ac:dyDescent="0.25">
      <c r="A18" s="40"/>
      <c r="B18" s="4" t="s">
        <v>14</v>
      </c>
      <c r="C18" s="2" t="str">
        <f t="shared" si="0"/>
        <v>□110×10×1719</v>
      </c>
      <c r="D18" s="2">
        <v>9</v>
      </c>
      <c r="E18" s="3">
        <f t="shared" si="1"/>
        <v>14.843565</v>
      </c>
      <c r="F18" s="3">
        <f t="shared" si="2"/>
        <v>133.592085</v>
      </c>
      <c r="G18" s="8">
        <f t="shared" si="8"/>
        <v>534.36833999999999</v>
      </c>
      <c r="H18" s="35"/>
      <c r="J18" s="5">
        <v>110</v>
      </c>
      <c r="K18" s="1">
        <v>10</v>
      </c>
      <c r="L18" s="5">
        <v>1719</v>
      </c>
      <c r="N18" s="6">
        <f t="shared" si="6"/>
        <v>0.37818000000000002</v>
      </c>
      <c r="O18" s="1">
        <f t="shared" si="7"/>
        <v>13.61448</v>
      </c>
    </row>
    <row r="19" spans="1:15" x14ac:dyDescent="0.25">
      <c r="A19" s="39"/>
      <c r="B19" s="4" t="s">
        <v>15</v>
      </c>
      <c r="C19" s="2" t="str">
        <f t="shared" si="0"/>
        <v>□120×12×442</v>
      </c>
      <c r="D19" s="2">
        <v>3</v>
      </c>
      <c r="E19" s="3">
        <f t="shared" si="1"/>
        <v>4.9963680000000004</v>
      </c>
      <c r="F19" s="3">
        <f t="shared" si="2"/>
        <v>14.989104000000001</v>
      </c>
      <c r="G19" s="8">
        <f t="shared" si="8"/>
        <v>59.956416000000004</v>
      </c>
      <c r="H19" s="35"/>
      <c r="J19" s="5">
        <v>120</v>
      </c>
      <c r="K19" s="1">
        <v>12</v>
      </c>
      <c r="L19" s="5">
        <v>442</v>
      </c>
      <c r="N19" s="6">
        <f t="shared" si="6"/>
        <v>0.10607999999999999</v>
      </c>
      <c r="O19" s="1">
        <f t="shared" si="7"/>
        <v>1.2729599999999999</v>
      </c>
    </row>
    <row r="20" spans="1:15" ht="27.6" x14ac:dyDescent="0.25">
      <c r="A20" s="4" t="s">
        <v>38</v>
      </c>
      <c r="B20" s="4" t="s">
        <v>30</v>
      </c>
      <c r="C20" s="10" t="str">
        <f>CONCATENATE("□",J20,"×",K20,"×",L20,"(总长)")</f>
        <v>□140×12×258586(总长)</v>
      </c>
      <c r="D20" s="2">
        <v>1</v>
      </c>
      <c r="E20" s="16">
        <f>IF(M20&gt;0,(M20*K20/1000000000*7850),(J20*K20*L20/1000000000*7850))</f>
        <v>3410.232168</v>
      </c>
      <c r="F20" s="3">
        <f t="shared" si="2"/>
        <v>3410.232168</v>
      </c>
      <c r="G20" s="8">
        <f t="shared" si="8"/>
        <v>13640.928672</v>
      </c>
      <c r="H20" s="35"/>
      <c r="J20" s="5">
        <v>140</v>
      </c>
      <c r="K20" s="1">
        <v>12</v>
      </c>
      <c r="L20" s="1">
        <f>(19266+9597+9558+19197+28808*2)*2+(7044+7015)*2</f>
        <v>258586</v>
      </c>
      <c r="N20" s="6">
        <f t="shared" si="6"/>
        <v>72.404079999999993</v>
      </c>
      <c r="O20" s="1">
        <f t="shared" si="7"/>
        <v>289.61631999999997</v>
      </c>
    </row>
    <row r="21" spans="1:15" x14ac:dyDescent="0.25">
      <c r="A21" s="4" t="s">
        <v>39</v>
      </c>
      <c r="B21" s="4" t="s">
        <v>41</v>
      </c>
      <c r="C21" s="2" t="str">
        <f t="shared" ref="C21:C30" si="19">CONCATENATE("□",J21,"×",K21,"×",L21)</f>
        <v>□450×32×4518</v>
      </c>
      <c r="D21" s="2">
        <v>1</v>
      </c>
      <c r="E21" s="3">
        <f t="shared" ref="E21:E26" si="20">IF(M21&gt;0,(M21*K21/1000000000*7850),(J21*K21*L21/1000000000*7850))</f>
        <v>510.71472</v>
      </c>
      <c r="F21" s="3">
        <f t="shared" si="2"/>
        <v>510.71472</v>
      </c>
      <c r="G21" s="8">
        <f t="shared" si="8"/>
        <v>2042.85888</v>
      </c>
      <c r="H21" s="35"/>
      <c r="J21" s="5">
        <v>450</v>
      </c>
      <c r="K21" s="1">
        <v>32</v>
      </c>
      <c r="L21" s="5">
        <v>4518</v>
      </c>
      <c r="N21" s="6">
        <f t="shared" si="6"/>
        <v>4.0662000000000003</v>
      </c>
      <c r="O21" s="1">
        <f t="shared" si="7"/>
        <v>16.264800000000001</v>
      </c>
    </row>
    <row r="22" spans="1:15" x14ac:dyDescent="0.25">
      <c r="A22" s="4" t="s">
        <v>40</v>
      </c>
      <c r="B22" s="4" t="s">
        <v>42</v>
      </c>
      <c r="C22" s="12" t="str">
        <f t="shared" si="19"/>
        <v>□450×32×5529</v>
      </c>
      <c r="D22" s="12">
        <v>1</v>
      </c>
      <c r="E22" s="3">
        <f t="shared" si="20"/>
        <v>624.99815999999998</v>
      </c>
      <c r="F22" s="3">
        <f t="shared" si="2"/>
        <v>624.99815999999998</v>
      </c>
      <c r="G22" s="8">
        <f t="shared" si="8"/>
        <v>2499.9926399999999</v>
      </c>
      <c r="H22" s="35"/>
      <c r="J22" s="5">
        <v>450</v>
      </c>
      <c r="K22" s="1">
        <v>32</v>
      </c>
      <c r="L22" s="5">
        <v>5529</v>
      </c>
      <c r="N22" s="6">
        <f t="shared" si="6"/>
        <v>4.9760999999999997</v>
      </c>
      <c r="O22" s="1">
        <f t="shared" si="7"/>
        <v>19.904399999999999</v>
      </c>
    </row>
    <row r="23" spans="1:15" x14ac:dyDescent="0.25">
      <c r="A23" s="38" t="s">
        <v>43</v>
      </c>
      <c r="B23" s="4" t="s">
        <v>44</v>
      </c>
      <c r="C23" s="12" t="str">
        <f t="shared" si="19"/>
        <v>□724×32×5634</v>
      </c>
      <c r="D23" s="12">
        <v>2</v>
      </c>
      <c r="E23" s="3">
        <f t="shared" si="20"/>
        <v>913.71658097568002</v>
      </c>
      <c r="F23" s="3">
        <f t="shared" si="2"/>
        <v>1827.43316195136</v>
      </c>
      <c r="G23" s="8">
        <f t="shared" si="8"/>
        <v>7309.7326478054401</v>
      </c>
      <c r="H23" s="35"/>
      <c r="J23" s="1">
        <v>724</v>
      </c>
      <c r="K23" s="1">
        <v>32</v>
      </c>
      <c r="L23" s="5">
        <v>5634</v>
      </c>
      <c r="M23" s="1">
        <v>3637406.7714</v>
      </c>
      <c r="N23" s="6">
        <f t="shared" si="6"/>
        <v>7.2748135427999996</v>
      </c>
      <c r="O23" s="1">
        <f t="shared" si="7"/>
        <v>58.198508342399997</v>
      </c>
    </row>
    <row r="24" spans="1:15" x14ac:dyDescent="0.25">
      <c r="A24" s="39"/>
      <c r="B24" s="4" t="s">
        <v>45</v>
      </c>
      <c r="C24" s="12" t="str">
        <f t="shared" si="19"/>
        <v>□884×32×884</v>
      </c>
      <c r="D24" s="12">
        <v>2</v>
      </c>
      <c r="E24" s="3">
        <f t="shared" si="20"/>
        <v>37.253122024</v>
      </c>
      <c r="F24" s="3">
        <f t="shared" si="2"/>
        <v>74.506244047999999</v>
      </c>
      <c r="G24" s="8">
        <f t="shared" si="8"/>
        <v>298.024976192</v>
      </c>
      <c r="H24" s="35"/>
      <c r="J24" s="1">
        <v>884</v>
      </c>
      <c r="K24" s="1">
        <v>32</v>
      </c>
      <c r="L24" s="5">
        <v>884</v>
      </c>
      <c r="M24" s="1">
        <v>148300.64499999999</v>
      </c>
      <c r="N24" s="6">
        <f t="shared" si="6"/>
        <v>0.29660128999999996</v>
      </c>
      <c r="O24" s="1">
        <f t="shared" si="7"/>
        <v>2.3728103199999997</v>
      </c>
    </row>
    <row r="25" spans="1:15" x14ac:dyDescent="0.25">
      <c r="A25" s="38" t="s">
        <v>46</v>
      </c>
      <c r="B25" s="4" t="s">
        <v>47</v>
      </c>
      <c r="C25" s="12" t="str">
        <f t="shared" si="19"/>
        <v>□450×12×600</v>
      </c>
      <c r="D25" s="12">
        <v>3</v>
      </c>
      <c r="E25" s="3">
        <f t="shared" si="20"/>
        <v>12.6920956395</v>
      </c>
      <c r="F25" s="3">
        <f t="shared" si="2"/>
        <v>38.076286918500003</v>
      </c>
      <c r="G25" s="8">
        <f t="shared" si="8"/>
        <v>152.30514767400001</v>
      </c>
      <c r="H25" s="35"/>
      <c r="J25" s="1">
        <v>450</v>
      </c>
      <c r="K25" s="1">
        <v>12</v>
      </c>
      <c r="L25" s="5">
        <v>600</v>
      </c>
      <c r="M25" s="1">
        <v>134735.6225</v>
      </c>
      <c r="N25" s="6">
        <f t="shared" si="6"/>
        <v>0.26947124499999997</v>
      </c>
      <c r="O25" s="1">
        <f t="shared" si="7"/>
        <v>3.2336549399999996</v>
      </c>
    </row>
    <row r="26" spans="1:15" x14ac:dyDescent="0.25">
      <c r="A26" s="39"/>
      <c r="B26" s="4" t="s">
        <v>48</v>
      </c>
      <c r="C26" s="12" t="str">
        <f t="shared" si="19"/>
        <v>□390×12×440</v>
      </c>
      <c r="D26" s="12">
        <v>3</v>
      </c>
      <c r="E26" s="3">
        <f t="shared" si="20"/>
        <v>16.164720000000003</v>
      </c>
      <c r="F26" s="3">
        <f t="shared" si="2"/>
        <v>48.494160000000008</v>
      </c>
      <c r="G26" s="8">
        <f t="shared" si="8"/>
        <v>193.97664000000003</v>
      </c>
      <c r="H26" s="36"/>
      <c r="J26" s="1">
        <v>390</v>
      </c>
      <c r="K26" s="1">
        <v>12</v>
      </c>
      <c r="L26" s="5">
        <v>440</v>
      </c>
      <c r="N26" s="6">
        <f t="shared" si="6"/>
        <v>0.34320000000000001</v>
      </c>
      <c r="O26" s="1">
        <f t="shared" si="7"/>
        <v>4.1184000000000003</v>
      </c>
    </row>
    <row r="27" spans="1:15" x14ac:dyDescent="0.25">
      <c r="A27" s="38" t="s">
        <v>49</v>
      </c>
      <c r="B27" s="4" t="s">
        <v>50</v>
      </c>
      <c r="C27" s="12" t="str">
        <f t="shared" si="19"/>
        <v>□724×282×1162</v>
      </c>
      <c r="D27" s="12">
        <v>2</v>
      </c>
      <c r="E27" s="9">
        <f>(785043.4338*282-31415.9265*140-531643.4338*142-724*320*80)/1000000000*7850</f>
        <v>965.20657052270008</v>
      </c>
      <c r="F27" s="3">
        <f t="shared" si="2"/>
        <v>1930.4131410454002</v>
      </c>
      <c r="G27" s="8">
        <f t="shared" si="8"/>
        <v>7721.6525641816006</v>
      </c>
      <c r="H27" s="8" t="s">
        <v>119</v>
      </c>
      <c r="J27" s="5">
        <v>724</v>
      </c>
      <c r="K27" s="1">
        <v>282</v>
      </c>
      <c r="L27" s="1">
        <v>1162</v>
      </c>
      <c r="N27" s="6">
        <f t="shared" si="6"/>
        <v>1.6825760000000001</v>
      </c>
      <c r="O27" s="1">
        <f t="shared" si="7"/>
        <v>13.460608000000001</v>
      </c>
    </row>
    <row r="28" spans="1:15" x14ac:dyDescent="0.25">
      <c r="A28" s="40"/>
      <c r="B28" s="4" t="s">
        <v>51</v>
      </c>
      <c r="C28" s="12" t="str">
        <f t="shared" si="19"/>
        <v>□875×40×2516</v>
      </c>
      <c r="D28" s="12">
        <v>2</v>
      </c>
      <c r="E28" s="3">
        <f t="shared" ref="E28:E30" si="21">IF(M28&gt;0,(M28*K28/1000000000*7850),(J28*K28*L28/1000000000*7850))</f>
        <v>336.42300212719999</v>
      </c>
      <c r="F28" s="3">
        <f t="shared" si="2"/>
        <v>672.84600425439999</v>
      </c>
      <c r="G28" s="8">
        <f t="shared" si="8"/>
        <v>2691.3840170175999</v>
      </c>
      <c r="H28" s="34" t="s">
        <v>118</v>
      </c>
      <c r="J28" s="5">
        <v>875</v>
      </c>
      <c r="K28" s="1">
        <v>40</v>
      </c>
      <c r="L28" s="1">
        <v>2516</v>
      </c>
      <c r="M28" s="1">
        <v>1071410.8348000001</v>
      </c>
      <c r="N28" s="6">
        <f t="shared" si="6"/>
        <v>2.1428216696</v>
      </c>
      <c r="O28" s="1">
        <f t="shared" si="7"/>
        <v>17.1425733568</v>
      </c>
    </row>
    <row r="29" spans="1:15" x14ac:dyDescent="0.25">
      <c r="A29" s="40"/>
      <c r="B29" s="4" t="s">
        <v>52</v>
      </c>
      <c r="C29" s="12" t="str">
        <f t="shared" si="19"/>
        <v>□600×50×600</v>
      </c>
      <c r="D29" s="12">
        <v>4</v>
      </c>
      <c r="E29" s="3">
        <f t="shared" si="21"/>
        <v>98.646009327750008</v>
      </c>
      <c r="F29" s="3">
        <f t="shared" si="2"/>
        <v>394.58403731100003</v>
      </c>
      <c r="G29" s="8">
        <f t="shared" si="8"/>
        <v>1578.3361492440001</v>
      </c>
      <c r="H29" s="36"/>
      <c r="J29" s="5">
        <v>600</v>
      </c>
      <c r="K29" s="1">
        <v>50</v>
      </c>
      <c r="L29" s="1">
        <v>600</v>
      </c>
      <c r="M29" s="1">
        <v>251327.4123</v>
      </c>
      <c r="N29" s="6">
        <f t="shared" si="6"/>
        <v>0.50265482459999999</v>
      </c>
      <c r="O29" s="1">
        <f t="shared" si="7"/>
        <v>8.0424771935999999</v>
      </c>
    </row>
    <row r="30" spans="1:15" x14ac:dyDescent="0.25">
      <c r="A30" s="40"/>
      <c r="B30" s="4" t="s">
        <v>53</v>
      </c>
      <c r="C30" s="12" t="str">
        <f t="shared" si="19"/>
        <v>□150×12×150</v>
      </c>
      <c r="D30" s="12">
        <v>4</v>
      </c>
      <c r="E30" s="3">
        <f t="shared" si="21"/>
        <v>6.6586056287400011</v>
      </c>
      <c r="F30" s="3">
        <f t="shared" si="2"/>
        <v>26.634422514960004</v>
      </c>
      <c r="G30" s="8">
        <f t="shared" si="8"/>
        <v>106.53769005984002</v>
      </c>
      <c r="H30" s="8" t="s">
        <v>108</v>
      </c>
      <c r="J30" s="5">
        <v>150</v>
      </c>
      <c r="K30" s="1">
        <v>12</v>
      </c>
      <c r="L30" s="1">
        <v>150</v>
      </c>
      <c r="M30" s="1">
        <v>70685.834700000007</v>
      </c>
      <c r="N30" s="6">
        <f t="shared" si="6"/>
        <v>0.14137166940000001</v>
      </c>
      <c r="O30" s="1">
        <f t="shared" si="7"/>
        <v>2.2619467104000002</v>
      </c>
    </row>
    <row r="31" spans="1:15" x14ac:dyDescent="0.25">
      <c r="A31" s="40"/>
      <c r="B31" s="4" t="s">
        <v>54</v>
      </c>
      <c r="C31" s="12" t="str">
        <f>CONCATENATE("D",J31,"×",K31)</f>
        <v>D200×280</v>
      </c>
      <c r="D31" s="12">
        <v>2</v>
      </c>
      <c r="E31" s="9">
        <f>0.0314159265*0.28*7850</f>
        <v>69.052206447000003</v>
      </c>
      <c r="F31" s="3">
        <f t="shared" si="2"/>
        <v>138.10441289400001</v>
      </c>
      <c r="G31" s="8">
        <f t="shared" si="8"/>
        <v>552.41765157600003</v>
      </c>
      <c r="H31" s="8" t="s">
        <v>117</v>
      </c>
      <c r="J31" s="5">
        <v>200</v>
      </c>
      <c r="K31" s="1">
        <v>280</v>
      </c>
      <c r="N31" s="6">
        <f>PI()*(J31/2)^2/1000000</f>
        <v>3.1415926535897934E-2</v>
      </c>
      <c r="O31" s="1">
        <f>N31*D31*4*2</f>
        <v>0.50265482457436694</v>
      </c>
    </row>
    <row r="32" spans="1:15" x14ac:dyDescent="0.25">
      <c r="A32" s="39"/>
      <c r="B32" s="4" t="s">
        <v>55</v>
      </c>
      <c r="C32" s="12" t="s">
        <v>56</v>
      </c>
      <c r="D32" s="12">
        <v>4</v>
      </c>
      <c r="E32" s="14" t="s">
        <v>57</v>
      </c>
      <c r="F32" s="3" t="s">
        <v>57</v>
      </c>
      <c r="G32" s="13">
        <f>D32*4</f>
        <v>16</v>
      </c>
      <c r="H32" s="13"/>
      <c r="J32" s="5"/>
      <c r="N32" s="6"/>
    </row>
    <row r="33" spans="1:10" x14ac:dyDescent="0.25">
      <c r="A33" s="4"/>
      <c r="B33" s="37" t="s">
        <v>16</v>
      </c>
      <c r="C33" s="37"/>
      <c r="D33" s="37"/>
      <c r="E33" s="37"/>
      <c r="F33" s="7">
        <f>SUM(F4:F31)</f>
        <v>33745.873984719976</v>
      </c>
      <c r="G33" s="8">
        <f t="shared" si="8"/>
        <v>134983.4959388799</v>
      </c>
      <c r="H33" s="8"/>
    </row>
    <row r="34" spans="1:10" x14ac:dyDescent="0.25">
      <c r="A34" s="4"/>
      <c r="B34" s="37" t="s">
        <v>19</v>
      </c>
      <c r="C34" s="37"/>
      <c r="D34" s="37"/>
      <c r="E34" s="37"/>
      <c r="F34" s="8">
        <f>F33*0.015</f>
        <v>506.1881097707996</v>
      </c>
      <c r="G34" s="8">
        <f t="shared" si="8"/>
        <v>2024.7524390831984</v>
      </c>
      <c r="H34" s="8"/>
    </row>
    <row r="35" spans="1:10" x14ac:dyDescent="0.25">
      <c r="A35" s="4"/>
      <c r="B35" s="37" t="s">
        <v>17</v>
      </c>
      <c r="C35" s="37"/>
      <c r="D35" s="37"/>
      <c r="E35" s="37"/>
      <c r="F35" s="7">
        <f>F33+F34</f>
        <v>34252.062094490779</v>
      </c>
      <c r="G35" s="8">
        <f t="shared" si="8"/>
        <v>137008.24837796311</v>
      </c>
      <c r="H35" s="8"/>
    </row>
    <row r="37" spans="1:10" x14ac:dyDescent="0.25">
      <c r="J37" s="5"/>
    </row>
    <row r="38" spans="1:10" x14ac:dyDescent="0.25">
      <c r="J38" s="5"/>
    </row>
    <row r="43" spans="1:10" x14ac:dyDescent="0.25">
      <c r="A43" s="33" t="s">
        <v>108</v>
      </c>
      <c r="B43" s="1">
        <v>10</v>
      </c>
      <c r="C43" s="5">
        <f>SUMIF($K$4:$K$26,B43,$G$4:$G$26)</f>
        <v>534.36833999999999</v>
      </c>
    </row>
    <row r="44" spans="1:10" x14ac:dyDescent="0.25">
      <c r="A44" s="33"/>
      <c r="B44" s="1">
        <v>12</v>
      </c>
      <c r="C44" s="21">
        <f>SUMIF($K$4:$K$26,B44,$G$4:$G$26)+G30</f>
        <v>18285.65044022568</v>
      </c>
    </row>
    <row r="45" spans="1:10" x14ac:dyDescent="0.25">
      <c r="A45" s="33"/>
      <c r="B45" s="1">
        <v>16</v>
      </c>
      <c r="C45" s="5">
        <f t="shared" ref="C45:C48" si="22">SUMIF($K$4:$K$26,B45,$G$4:$G$26)</f>
        <v>46345.361913487992</v>
      </c>
    </row>
    <row r="46" spans="1:10" x14ac:dyDescent="0.25">
      <c r="A46" s="33"/>
      <c r="B46" s="1">
        <v>20</v>
      </c>
      <c r="C46" s="5">
        <f t="shared" si="22"/>
        <v>2441.4898770775999</v>
      </c>
    </row>
    <row r="47" spans="1:10" x14ac:dyDescent="0.25">
      <c r="A47" s="33"/>
      <c r="B47" s="1">
        <v>24</v>
      </c>
      <c r="C47" s="5">
        <f t="shared" si="22"/>
        <v>42682.225842071995</v>
      </c>
    </row>
    <row r="48" spans="1:10" ht="17.25" customHeight="1" x14ac:dyDescent="0.25">
      <c r="A48" s="33"/>
      <c r="B48" s="1">
        <v>32</v>
      </c>
      <c r="C48" s="5">
        <f t="shared" si="22"/>
        <v>12150.609143997441</v>
      </c>
    </row>
    <row r="49" spans="1:4" x14ac:dyDescent="0.25">
      <c r="A49" s="33"/>
      <c r="B49" s="1" t="s">
        <v>101</v>
      </c>
      <c r="C49" s="5">
        <f>SUM(C43:C48)</f>
        <v>122439.7055568607</v>
      </c>
    </row>
    <row r="50" spans="1:4" x14ac:dyDescent="0.25">
      <c r="A50" s="1" t="s">
        <v>119</v>
      </c>
      <c r="B50" s="1">
        <v>282</v>
      </c>
      <c r="C50" s="5">
        <f>G27</f>
        <v>7721.6525641816006</v>
      </c>
    </row>
    <row r="51" spans="1:4" x14ac:dyDescent="0.25">
      <c r="A51" s="33" t="s">
        <v>118</v>
      </c>
      <c r="B51" s="1">
        <v>40</v>
      </c>
      <c r="C51" s="5">
        <f>G28</f>
        <v>2691.3840170175999</v>
      </c>
    </row>
    <row r="52" spans="1:4" x14ac:dyDescent="0.25">
      <c r="A52" s="33"/>
      <c r="B52" s="1">
        <v>50</v>
      </c>
      <c r="C52" s="5">
        <f>G29</f>
        <v>1578.3361492440001</v>
      </c>
    </row>
    <row r="53" spans="1:4" x14ac:dyDescent="0.25">
      <c r="A53" s="1" t="s">
        <v>117</v>
      </c>
      <c r="B53" s="1" t="s">
        <v>100</v>
      </c>
      <c r="C53" s="5">
        <f>G31</f>
        <v>552.41765157600003</v>
      </c>
      <c r="D53" s="5">
        <f>SUM(C49:C53)</f>
        <v>134983.49593887987</v>
      </c>
    </row>
    <row r="54" spans="1:4" x14ac:dyDescent="0.25">
      <c r="A54" s="33" t="s">
        <v>18</v>
      </c>
      <c r="B54" s="1" t="s">
        <v>102</v>
      </c>
      <c r="C54" s="24">
        <f>SUM(O4:O12)/2+SUM(O21:O24)/2+SUM(O27:O31)</f>
        <v>691.86464693337439</v>
      </c>
    </row>
    <row r="55" spans="1:4" x14ac:dyDescent="0.25">
      <c r="A55" s="33"/>
      <c r="B55" s="1" t="s">
        <v>103</v>
      </c>
      <c r="C55" s="23">
        <f>SUM(O4:O12)/2+SUM(O13:O20)+SUM(O21:O24)/2+SUM(O25:O26)</f>
        <v>1068.0564723784</v>
      </c>
    </row>
  </sheetData>
  <mergeCells count="16">
    <mergeCell ref="N3:O3"/>
    <mergeCell ref="A43:A49"/>
    <mergeCell ref="A54:A55"/>
    <mergeCell ref="H4:H26"/>
    <mergeCell ref="A51:A52"/>
    <mergeCell ref="B34:E34"/>
    <mergeCell ref="B35:E35"/>
    <mergeCell ref="A4:A5"/>
    <mergeCell ref="A6:A7"/>
    <mergeCell ref="H28:H29"/>
    <mergeCell ref="A8:A12"/>
    <mergeCell ref="A13:A19"/>
    <mergeCell ref="A23:A24"/>
    <mergeCell ref="A25:A26"/>
    <mergeCell ref="A27:A32"/>
    <mergeCell ref="B33:E33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CFB1-EF21-4A66-98FE-0A04AC66E6B6}">
  <dimension ref="A3:O50"/>
  <sheetViews>
    <sheetView workbookViewId="0">
      <selection activeCell="G26" sqref="G26:G27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8" width="10.33203125" style="1" customWidth="1"/>
    <col min="9" max="16384" width="9" style="1"/>
  </cols>
  <sheetData>
    <row r="3" spans="1:15" ht="13.5" customHeight="1" x14ac:dyDescent="0.25">
      <c r="A3" s="4" t="s">
        <v>22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31</v>
      </c>
      <c r="H3" s="4" t="s">
        <v>63</v>
      </c>
      <c r="J3" s="1" t="s">
        <v>7</v>
      </c>
      <c r="K3" s="1" t="s">
        <v>6</v>
      </c>
      <c r="L3" s="1" t="s">
        <v>5</v>
      </c>
      <c r="M3" s="1" t="s">
        <v>8</v>
      </c>
      <c r="N3" s="33" t="s">
        <v>18</v>
      </c>
      <c r="O3" s="33"/>
    </row>
    <row r="4" spans="1:15" x14ac:dyDescent="0.25">
      <c r="A4" s="4" t="s">
        <v>34</v>
      </c>
      <c r="B4" s="2" t="s">
        <v>21</v>
      </c>
      <c r="C4" s="2" t="str">
        <f t="shared" ref="C4:C13" si="0">CONCATENATE("□",J4,"×",K4,"×",L4)</f>
        <v>□1508×16×24221</v>
      </c>
      <c r="D4" s="2">
        <v>1</v>
      </c>
      <c r="E4" s="3">
        <f t="shared" ref="E4:E13" si="1">IF(M4&gt;0,(M4*K4/1000000000*7850),(J4*K4*L4/1000000000*7850))</f>
        <v>4587.5736607999997</v>
      </c>
      <c r="F4" s="3">
        <f t="shared" ref="F4:F18" si="2">D4*E4</f>
        <v>4587.5736607999997</v>
      </c>
      <c r="G4" s="8">
        <f>F4*4</f>
        <v>18350.294643199999</v>
      </c>
      <c r="H4" s="34" t="s">
        <v>108</v>
      </c>
      <c r="J4" s="5">
        <v>1508</v>
      </c>
      <c r="K4" s="1">
        <v>16</v>
      </c>
      <c r="L4" s="1">
        <v>24221</v>
      </c>
      <c r="N4" s="6">
        <f>IF(M4&gt;0,(M4*2/1000000),(J4*L4*2/1000000))</f>
        <v>73.050535999999994</v>
      </c>
      <c r="O4" s="1">
        <f>N4*D4*4</f>
        <v>292.20214399999998</v>
      </c>
    </row>
    <row r="5" spans="1:15" x14ac:dyDescent="0.25">
      <c r="A5" s="4" t="s">
        <v>35</v>
      </c>
      <c r="B5" s="2" t="s">
        <v>25</v>
      </c>
      <c r="C5" s="2" t="str">
        <f t="shared" si="0"/>
        <v>□1000×16×24137</v>
      </c>
      <c r="D5" s="2">
        <v>1</v>
      </c>
      <c r="E5" s="3">
        <f t="shared" si="1"/>
        <v>3031.6071999999999</v>
      </c>
      <c r="F5" s="3">
        <f t="shared" si="2"/>
        <v>3031.6071999999999</v>
      </c>
      <c r="G5" s="8">
        <f t="shared" ref="G5:G31" si="3">F5*4</f>
        <v>12126.4288</v>
      </c>
      <c r="H5" s="35"/>
      <c r="J5" s="5">
        <v>1000</v>
      </c>
      <c r="K5" s="1">
        <v>16</v>
      </c>
      <c r="L5" s="1">
        <v>24137</v>
      </c>
      <c r="N5" s="6">
        <f t="shared" ref="N5:N26" si="4">IF(M5&gt;0,(M5*2/1000000),(J5*L5*2/1000000))</f>
        <v>48.274000000000001</v>
      </c>
      <c r="O5" s="1">
        <f t="shared" ref="O5:O26" si="5">N5*D5*4</f>
        <v>193.096</v>
      </c>
    </row>
    <row r="6" spans="1:15" x14ac:dyDescent="0.25">
      <c r="A6" s="38" t="s">
        <v>36</v>
      </c>
      <c r="B6" s="4" t="s">
        <v>26</v>
      </c>
      <c r="C6" s="2" t="str">
        <f t="shared" si="0"/>
        <v>□1064×16×24221</v>
      </c>
      <c r="D6" s="2">
        <v>2</v>
      </c>
      <c r="E6" s="3">
        <f t="shared" si="1"/>
        <v>3236.8556863999997</v>
      </c>
      <c r="F6" s="3">
        <f t="shared" si="2"/>
        <v>6473.7113727999995</v>
      </c>
      <c r="G6" s="8">
        <f t="shared" si="3"/>
        <v>25894.845491199998</v>
      </c>
      <c r="H6" s="35"/>
      <c r="J6" s="5">
        <v>1064</v>
      </c>
      <c r="K6" s="1">
        <v>16</v>
      </c>
      <c r="L6" s="1">
        <f>L4</f>
        <v>24221</v>
      </c>
      <c r="N6" s="6">
        <f t="shared" si="4"/>
        <v>51.542287999999999</v>
      </c>
      <c r="O6" s="1">
        <f t="shared" si="5"/>
        <v>412.33830399999999</v>
      </c>
    </row>
    <row r="7" spans="1:15" x14ac:dyDescent="0.25">
      <c r="A7" s="40"/>
      <c r="B7" s="4" t="s">
        <v>33</v>
      </c>
      <c r="C7" s="2" t="str">
        <f t="shared" si="0"/>
        <v>□800×20×953</v>
      </c>
      <c r="D7" s="2">
        <v>2</v>
      </c>
      <c r="E7" s="3">
        <f t="shared" si="1"/>
        <v>242.48698103229998</v>
      </c>
      <c r="F7" s="3">
        <f t="shared" ref="F7" si="6">D7*E7</f>
        <v>484.97396206459996</v>
      </c>
      <c r="G7" s="8">
        <f t="shared" si="3"/>
        <v>1939.8958482583998</v>
      </c>
      <c r="H7" s="35"/>
      <c r="J7" s="5">
        <v>800</v>
      </c>
      <c r="K7" s="1">
        <v>20</v>
      </c>
      <c r="L7" s="1">
        <v>953</v>
      </c>
      <c r="M7" s="1">
        <v>1544503.0639</v>
      </c>
      <c r="N7" s="6">
        <f t="shared" si="4"/>
        <v>3.0890061277999998</v>
      </c>
      <c r="O7" s="1">
        <f t="shared" si="5"/>
        <v>24.712049022399999</v>
      </c>
    </row>
    <row r="8" spans="1:15" x14ac:dyDescent="0.25">
      <c r="A8" s="40"/>
      <c r="B8" s="4" t="s">
        <v>9</v>
      </c>
      <c r="C8" s="2" t="str">
        <f t="shared" ref="C8:C9" si="7">CONCATENATE("□",J8,"×",K8,"×",L8)</f>
        <v>□1657×12×120</v>
      </c>
      <c r="D8" s="2">
        <v>2</v>
      </c>
      <c r="E8" s="3">
        <f t="shared" ref="E8:E9" si="8">IF(M8&gt;0,(M8*K8/1000000000*7850),(J8*K8*L8/1000000000*7850))</f>
        <v>18.730727999999999</v>
      </c>
      <c r="F8" s="3">
        <f t="shared" ref="F8:F9" si="9">D8*E8</f>
        <v>37.461455999999998</v>
      </c>
      <c r="G8" s="8">
        <f t="shared" ref="G8:G9" si="10">F8*4</f>
        <v>149.84582399999999</v>
      </c>
      <c r="H8" s="35"/>
      <c r="J8" s="5">
        <v>1657</v>
      </c>
      <c r="K8" s="1">
        <v>12</v>
      </c>
      <c r="L8" s="1">
        <v>120</v>
      </c>
      <c r="N8" s="6">
        <f t="shared" si="4"/>
        <v>0.39767999999999998</v>
      </c>
      <c r="O8" s="1">
        <f t="shared" si="5"/>
        <v>3.1814399999999998</v>
      </c>
    </row>
    <row r="9" spans="1:15" x14ac:dyDescent="0.25">
      <c r="A9" s="39"/>
      <c r="B9" s="4" t="s">
        <v>10</v>
      </c>
      <c r="C9" s="2" t="str">
        <f t="shared" si="7"/>
        <v>□1457×12×120</v>
      </c>
      <c r="D9" s="2">
        <v>2</v>
      </c>
      <c r="E9" s="3">
        <f t="shared" si="8"/>
        <v>16.469927999999999</v>
      </c>
      <c r="F9" s="3">
        <f t="shared" si="9"/>
        <v>32.939855999999999</v>
      </c>
      <c r="G9" s="8">
        <f t="shared" si="10"/>
        <v>131.759424</v>
      </c>
      <c r="H9" s="35"/>
      <c r="J9" s="5">
        <v>1457</v>
      </c>
      <c r="K9" s="1">
        <v>12</v>
      </c>
      <c r="L9" s="1">
        <v>120</v>
      </c>
      <c r="N9" s="6">
        <f t="shared" si="4"/>
        <v>0.34967999999999999</v>
      </c>
      <c r="O9" s="1">
        <f t="shared" si="5"/>
        <v>2.7974399999999999</v>
      </c>
    </row>
    <row r="10" spans="1:15" x14ac:dyDescent="0.25">
      <c r="A10" s="38" t="s">
        <v>37</v>
      </c>
      <c r="B10" s="4" t="s">
        <v>11</v>
      </c>
      <c r="C10" s="2" t="str">
        <f t="shared" si="0"/>
        <v>□1000×12×1500</v>
      </c>
      <c r="D10" s="2">
        <v>8</v>
      </c>
      <c r="E10" s="3">
        <f t="shared" si="1"/>
        <v>89.037228802139992</v>
      </c>
      <c r="F10" s="3">
        <f t="shared" si="2"/>
        <v>712.29783041711994</v>
      </c>
      <c r="G10" s="8">
        <f t="shared" si="3"/>
        <v>2849.1913216684798</v>
      </c>
      <c r="H10" s="35"/>
      <c r="J10" s="5">
        <v>1000</v>
      </c>
      <c r="K10" s="1">
        <v>12</v>
      </c>
      <c r="L10" s="1">
        <v>1500</v>
      </c>
      <c r="M10" s="1">
        <v>945193.51170000003</v>
      </c>
      <c r="N10" s="6">
        <f t="shared" si="4"/>
        <v>1.8903870234</v>
      </c>
      <c r="O10" s="1">
        <f t="shared" si="5"/>
        <v>60.492384748799999</v>
      </c>
    </row>
    <row r="11" spans="1:15" x14ac:dyDescent="0.25">
      <c r="A11" s="40"/>
      <c r="B11" s="4" t="s">
        <v>12</v>
      </c>
      <c r="C11" s="2" t="str">
        <f t="shared" si="0"/>
        <v>□1000×16×1500</v>
      </c>
      <c r="D11" s="2">
        <v>2</v>
      </c>
      <c r="E11" s="3">
        <f t="shared" si="1"/>
        <v>127.00063455440001</v>
      </c>
      <c r="F11" s="3">
        <f t="shared" si="2"/>
        <v>254.00126910880002</v>
      </c>
      <c r="G11" s="8">
        <f t="shared" si="3"/>
        <v>1016.0050764352001</v>
      </c>
      <c r="H11" s="35"/>
      <c r="J11" s="5">
        <v>1000</v>
      </c>
      <c r="K11" s="1">
        <v>16</v>
      </c>
      <c r="L11" s="1">
        <v>1500</v>
      </c>
      <c r="M11" s="1">
        <v>1011151.549</v>
      </c>
      <c r="N11" s="6">
        <f t="shared" si="4"/>
        <v>2.0223030980000001</v>
      </c>
      <c r="O11" s="1">
        <f t="shared" si="5"/>
        <v>16.178424784000001</v>
      </c>
    </row>
    <row r="12" spans="1:15" x14ac:dyDescent="0.25">
      <c r="A12" s="40"/>
      <c r="B12" s="4" t="s">
        <v>13</v>
      </c>
      <c r="C12" s="2" t="str">
        <f t="shared" si="0"/>
        <v>□509×16×1000</v>
      </c>
      <c r="D12" s="2">
        <v>2</v>
      </c>
      <c r="E12" s="3">
        <f t="shared" si="1"/>
        <v>47.747034554399995</v>
      </c>
      <c r="F12" s="3">
        <f t="shared" si="2"/>
        <v>95.494069108799991</v>
      </c>
      <c r="G12" s="8">
        <f t="shared" si="3"/>
        <v>381.97627643519996</v>
      </c>
      <c r="H12" s="35"/>
      <c r="J12" s="5">
        <v>509</v>
      </c>
      <c r="K12" s="1">
        <v>16</v>
      </c>
      <c r="L12" s="1">
        <v>1000</v>
      </c>
      <c r="M12" s="1">
        <v>380151.549</v>
      </c>
      <c r="N12" s="6">
        <f t="shared" si="4"/>
        <v>0.76030309799999996</v>
      </c>
      <c r="O12" s="1">
        <f t="shared" si="5"/>
        <v>6.0824247839999996</v>
      </c>
    </row>
    <row r="13" spans="1:15" x14ac:dyDescent="0.25">
      <c r="A13" s="40"/>
      <c r="B13" s="4" t="s">
        <v>32</v>
      </c>
      <c r="C13" s="2" t="str">
        <f t="shared" si="0"/>
        <v>□442×16×500</v>
      </c>
      <c r="D13" s="2">
        <v>1</v>
      </c>
      <c r="E13" s="3">
        <f t="shared" si="1"/>
        <v>27.2742345544</v>
      </c>
      <c r="F13" s="3">
        <f t="shared" si="2"/>
        <v>27.2742345544</v>
      </c>
      <c r="G13" s="8">
        <f t="shared" si="3"/>
        <v>109.0969382176</v>
      </c>
      <c r="H13" s="35"/>
      <c r="J13" s="5">
        <v>442</v>
      </c>
      <c r="K13" s="1">
        <v>16</v>
      </c>
      <c r="L13" s="1">
        <v>500</v>
      </c>
      <c r="M13" s="1">
        <v>217151.549</v>
      </c>
      <c r="N13" s="6">
        <f t="shared" si="4"/>
        <v>0.434303098</v>
      </c>
      <c r="O13" s="1">
        <f t="shared" si="5"/>
        <v>1.737212392</v>
      </c>
    </row>
    <row r="14" spans="1:15" x14ac:dyDescent="0.25">
      <c r="A14" s="40"/>
      <c r="B14" s="4" t="s">
        <v>14</v>
      </c>
      <c r="C14" s="2" t="str">
        <f t="shared" ref="C14" si="11">CONCATENATE("□",J14,"×",K14,"×",L14)</f>
        <v>□110×10×1719</v>
      </c>
      <c r="D14" s="2">
        <v>8</v>
      </c>
      <c r="E14" s="3">
        <f t="shared" ref="E14" si="12">IF(M14&gt;0,(M14*K14/1000000000*7850),(J14*K14*L14/1000000000*7850))</f>
        <v>14.843565</v>
      </c>
      <c r="F14" s="3">
        <f t="shared" ref="F14" si="13">D14*E14</f>
        <v>118.74852</v>
      </c>
      <c r="G14" s="8">
        <f t="shared" si="3"/>
        <v>474.99408</v>
      </c>
      <c r="H14" s="35"/>
      <c r="J14" s="5">
        <v>110</v>
      </c>
      <c r="K14" s="1">
        <v>10</v>
      </c>
      <c r="L14" s="5">
        <v>1719</v>
      </c>
      <c r="N14" s="6">
        <f t="shared" si="4"/>
        <v>0.37818000000000002</v>
      </c>
      <c r="O14" s="1">
        <f t="shared" si="5"/>
        <v>12.101760000000001</v>
      </c>
    </row>
    <row r="15" spans="1:15" x14ac:dyDescent="0.25">
      <c r="A15" s="39"/>
      <c r="B15" s="4" t="s">
        <v>15</v>
      </c>
      <c r="C15" s="2" t="str">
        <f t="shared" ref="C15" si="14">CONCATENATE("□",J15,"×",K15,"×",L15)</f>
        <v>□120×12×442</v>
      </c>
      <c r="D15" s="2">
        <v>3</v>
      </c>
      <c r="E15" s="3">
        <f t="shared" ref="E15" si="15">IF(M15&gt;0,(M15*K15/1000000000*7850),(J15*K15*L15/1000000000*7850))</f>
        <v>4.9963680000000004</v>
      </c>
      <c r="F15" s="3">
        <f t="shared" ref="F15" si="16">D15*E15</f>
        <v>14.989104000000001</v>
      </c>
      <c r="G15" s="8">
        <f t="shared" si="3"/>
        <v>59.956416000000004</v>
      </c>
      <c r="H15" s="35"/>
      <c r="J15" s="5">
        <v>120</v>
      </c>
      <c r="K15" s="1">
        <v>12</v>
      </c>
      <c r="L15" s="5">
        <v>442</v>
      </c>
      <c r="N15" s="6">
        <f t="shared" si="4"/>
        <v>0.10607999999999999</v>
      </c>
      <c r="O15" s="1">
        <f t="shared" si="5"/>
        <v>1.2729599999999999</v>
      </c>
    </row>
    <row r="16" spans="1:15" x14ac:dyDescent="0.25">
      <c r="A16" s="4" t="s">
        <v>38</v>
      </c>
      <c r="B16" s="4" t="s">
        <v>30</v>
      </c>
      <c r="C16" s="10" t="str">
        <f>CONCATENATE("□",J16,"×",K16,"×",L16,"(平均)")</f>
        <v>□140×12×22228(平均)</v>
      </c>
      <c r="D16" s="2">
        <v>8</v>
      </c>
      <c r="E16" s="11">
        <f>IF(M16&gt;0,(M16*K16/1000000000*7850),(J16*K16*L16/1000000000*7850))</f>
        <v>293.14286400000003</v>
      </c>
      <c r="F16" s="3">
        <f t="shared" si="2"/>
        <v>2345.1429120000003</v>
      </c>
      <c r="G16" s="8">
        <f t="shared" si="3"/>
        <v>9380.571648000001</v>
      </c>
      <c r="H16" s="35"/>
      <c r="J16" s="5">
        <v>140</v>
      </c>
      <c r="K16" s="1">
        <v>12</v>
      </c>
      <c r="L16" s="1">
        <f>(22268+22188)/2</f>
        <v>22228</v>
      </c>
      <c r="N16" s="6">
        <f t="shared" si="4"/>
        <v>6.22384</v>
      </c>
      <c r="O16" s="1">
        <f t="shared" si="5"/>
        <v>199.16288</v>
      </c>
    </row>
    <row r="17" spans="1:15" x14ac:dyDescent="0.25">
      <c r="A17" s="4" t="s">
        <v>39</v>
      </c>
      <c r="B17" s="4" t="s">
        <v>41</v>
      </c>
      <c r="C17" s="2" t="str">
        <f t="shared" ref="C17:C18" si="17">CONCATENATE("□",J17,"×",K17,"×",L17)</f>
        <v>□450×32×9209</v>
      </c>
      <c r="D17" s="2">
        <v>1</v>
      </c>
      <c r="E17" s="3">
        <f t="shared" ref="E17:E18" si="18">IF(M17&gt;0,(M17*K17/1000000000*7850),(J17*K17*L17/1000000000*7850))</f>
        <v>1040.9853599999999</v>
      </c>
      <c r="F17" s="3">
        <f t="shared" si="2"/>
        <v>1040.9853599999999</v>
      </c>
      <c r="G17" s="8">
        <f t="shared" ref="G17:G18" si="19">F17*4</f>
        <v>4163.9414399999996</v>
      </c>
      <c r="H17" s="35"/>
      <c r="J17" s="5">
        <v>450</v>
      </c>
      <c r="K17" s="1">
        <v>32</v>
      </c>
      <c r="L17" s="5">
        <v>9209</v>
      </c>
      <c r="N17" s="6">
        <f t="shared" si="4"/>
        <v>8.2881</v>
      </c>
      <c r="O17" s="1">
        <f t="shared" si="5"/>
        <v>33.1524</v>
      </c>
    </row>
    <row r="18" spans="1:15" x14ac:dyDescent="0.25">
      <c r="A18" s="4" t="s">
        <v>40</v>
      </c>
      <c r="B18" s="4" t="s">
        <v>42</v>
      </c>
      <c r="C18" s="12" t="str">
        <f t="shared" si="17"/>
        <v>□450×32×10389</v>
      </c>
      <c r="D18" s="12">
        <v>1</v>
      </c>
      <c r="E18" s="3">
        <f t="shared" si="18"/>
        <v>1174.37256</v>
      </c>
      <c r="F18" s="3">
        <f t="shared" si="2"/>
        <v>1174.37256</v>
      </c>
      <c r="G18" s="8">
        <f t="shared" si="19"/>
        <v>4697.4902400000001</v>
      </c>
      <c r="H18" s="35"/>
      <c r="J18" s="5">
        <v>450</v>
      </c>
      <c r="K18" s="1">
        <v>32</v>
      </c>
      <c r="L18" s="5">
        <v>10389</v>
      </c>
      <c r="N18" s="6">
        <f t="shared" si="4"/>
        <v>9.3500999999999994</v>
      </c>
      <c r="O18" s="1">
        <f t="shared" si="5"/>
        <v>37.400399999999998</v>
      </c>
    </row>
    <row r="19" spans="1:15" x14ac:dyDescent="0.25">
      <c r="A19" s="38" t="s">
        <v>43</v>
      </c>
      <c r="B19" s="4" t="s">
        <v>44</v>
      </c>
      <c r="C19" s="12" t="str">
        <f t="shared" ref="C19" si="20">CONCATENATE("□",J19,"×",K19,"×",L19)</f>
        <v>□724×32×10456</v>
      </c>
      <c r="D19" s="12">
        <v>2</v>
      </c>
      <c r="E19" s="3">
        <f t="shared" ref="E19" si="21">IF(M19&gt;0,(M19*K19/1000000000*7850),(J19*K19*L19/1000000000*7850))</f>
        <v>1901.6201728000001</v>
      </c>
      <c r="F19" s="3">
        <f t="shared" ref="F19" si="22">D19*E19</f>
        <v>3803.2403456000002</v>
      </c>
      <c r="G19" s="8">
        <f t="shared" ref="G19" si="23">F19*4</f>
        <v>15212.961382400001</v>
      </c>
      <c r="H19" s="35"/>
      <c r="J19" s="1">
        <v>724</v>
      </c>
      <c r="K19" s="1">
        <v>32</v>
      </c>
      <c r="L19" s="5">
        <v>10456</v>
      </c>
      <c r="N19" s="6">
        <f t="shared" si="4"/>
        <v>15.140288</v>
      </c>
      <c r="O19" s="1">
        <f t="shared" si="5"/>
        <v>121.122304</v>
      </c>
    </row>
    <row r="20" spans="1:15" x14ac:dyDescent="0.25">
      <c r="A20" s="39"/>
      <c r="B20" s="4" t="s">
        <v>45</v>
      </c>
      <c r="C20" s="12" t="str">
        <f t="shared" ref="C20" si="24">CONCATENATE("□",J20,"×",K20,"×",L20)</f>
        <v>□764×32×764</v>
      </c>
      <c r="D20" s="12">
        <v>2</v>
      </c>
      <c r="E20" s="3">
        <f t="shared" ref="E20" si="25">IF(M20&gt;0,(M20*K20/1000000000*7850),(J20*K20*L20/1000000000*7850))</f>
        <v>30.203856614239999</v>
      </c>
      <c r="F20" s="3">
        <f t="shared" ref="F20" si="26">D20*E20</f>
        <v>60.407713228479999</v>
      </c>
      <c r="G20" s="8">
        <f t="shared" ref="G20" si="27">F20*4</f>
        <v>241.63085291391999</v>
      </c>
      <c r="H20" s="35"/>
      <c r="J20" s="1">
        <v>764</v>
      </c>
      <c r="K20" s="1">
        <v>32</v>
      </c>
      <c r="L20" s="5">
        <v>764</v>
      </c>
      <c r="M20" s="1">
        <v>120238.2827</v>
      </c>
      <c r="N20" s="6">
        <f t="shared" si="4"/>
        <v>0.24047656539999998</v>
      </c>
      <c r="O20" s="1">
        <f t="shared" si="5"/>
        <v>1.9238125231999998</v>
      </c>
    </row>
    <row r="21" spans="1:15" x14ac:dyDescent="0.25">
      <c r="A21" s="38" t="s">
        <v>46</v>
      </c>
      <c r="B21" s="4" t="s">
        <v>47</v>
      </c>
      <c r="C21" s="12" t="str">
        <f t="shared" ref="C21" si="28">CONCATENATE("□",J21,"×",K21,"×",L21)</f>
        <v>□450×12×600</v>
      </c>
      <c r="D21" s="12">
        <v>5</v>
      </c>
      <c r="E21" s="3">
        <f t="shared" ref="E21" si="29">IF(M21&gt;0,(M21*K21/1000000000*7850),(J21*K21*L21/1000000000*7850))</f>
        <v>12.6920956395</v>
      </c>
      <c r="F21" s="3">
        <f t="shared" ref="F21" si="30">D21*E21</f>
        <v>63.460478197499995</v>
      </c>
      <c r="G21" s="8">
        <f t="shared" ref="G21" si="31">F21*4</f>
        <v>253.84191278999998</v>
      </c>
      <c r="H21" s="35"/>
      <c r="J21" s="1">
        <v>450</v>
      </c>
      <c r="K21" s="1">
        <v>12</v>
      </c>
      <c r="L21" s="5">
        <v>600</v>
      </c>
      <c r="M21" s="1">
        <v>134735.6225</v>
      </c>
      <c r="N21" s="6">
        <f t="shared" si="4"/>
        <v>0.26947124499999997</v>
      </c>
      <c r="O21" s="1">
        <f t="shared" si="5"/>
        <v>5.3894248999999999</v>
      </c>
    </row>
    <row r="22" spans="1:15" x14ac:dyDescent="0.25">
      <c r="A22" s="39"/>
      <c r="B22" s="4" t="s">
        <v>48</v>
      </c>
      <c r="C22" s="12" t="str">
        <f t="shared" ref="C22" si="32">CONCATENATE("□",J22,"×",K22,"×",L22)</f>
        <v>□390×12×440</v>
      </c>
      <c r="D22" s="12">
        <v>5</v>
      </c>
      <c r="E22" s="3">
        <f t="shared" ref="E22" si="33">IF(M22&gt;0,(M22*K22/1000000000*7850),(J22*K22*L22/1000000000*7850))</f>
        <v>16.164720000000003</v>
      </c>
      <c r="F22" s="3">
        <f t="shared" ref="F22" si="34">D22*E22</f>
        <v>80.823600000000013</v>
      </c>
      <c r="G22" s="8">
        <f t="shared" ref="G22" si="35">F22*4</f>
        <v>323.29440000000005</v>
      </c>
      <c r="H22" s="36"/>
      <c r="J22" s="1">
        <v>390</v>
      </c>
      <c r="K22" s="1">
        <v>12</v>
      </c>
      <c r="L22" s="5">
        <v>440</v>
      </c>
      <c r="N22" s="6">
        <f t="shared" si="4"/>
        <v>0.34320000000000001</v>
      </c>
      <c r="O22" s="1">
        <f t="shared" si="5"/>
        <v>6.8639999999999999</v>
      </c>
    </row>
    <row r="23" spans="1:15" x14ac:dyDescent="0.25">
      <c r="A23" s="38" t="s">
        <v>49</v>
      </c>
      <c r="B23" s="4" t="s">
        <v>50</v>
      </c>
      <c r="C23" s="12" t="str">
        <f t="shared" ref="C23:C24" si="36">CONCATENATE("□",J23,"×",K23,"×",L23)</f>
        <v>□724×282×1162</v>
      </c>
      <c r="D23" s="12">
        <v>2</v>
      </c>
      <c r="E23" s="9">
        <f>(785043.4338*282-31415.9265*140-531643.4338*142-724*320*80)/1000000000*7850</f>
        <v>965.20657052270008</v>
      </c>
      <c r="F23" s="3">
        <f t="shared" ref="F23:F24" si="37">D23*E23</f>
        <v>1930.4131410454002</v>
      </c>
      <c r="G23" s="8">
        <f t="shared" ref="G23:G24" si="38">F23*4</f>
        <v>7721.6525641816006</v>
      </c>
      <c r="H23" s="17" t="s">
        <v>119</v>
      </c>
      <c r="J23" s="5">
        <v>724</v>
      </c>
      <c r="K23" s="1">
        <v>282</v>
      </c>
      <c r="L23" s="1">
        <v>1162</v>
      </c>
      <c r="N23" s="6">
        <f t="shared" si="4"/>
        <v>1.6825760000000001</v>
      </c>
      <c r="O23" s="1">
        <f t="shared" si="5"/>
        <v>13.460608000000001</v>
      </c>
    </row>
    <row r="24" spans="1:15" x14ac:dyDescent="0.25">
      <c r="A24" s="40"/>
      <c r="B24" s="4" t="s">
        <v>51</v>
      </c>
      <c r="C24" s="12" t="str">
        <f t="shared" si="36"/>
        <v>□875×40×2516</v>
      </c>
      <c r="D24" s="12">
        <v>2</v>
      </c>
      <c r="E24" s="3">
        <f t="shared" ref="E24" si="39">IF(M24&gt;0,(M24*K24/1000000000*7850),(J24*K24*L24/1000000000*7850))</f>
        <v>364.72135634800003</v>
      </c>
      <c r="F24" s="3">
        <f t="shared" si="37"/>
        <v>729.44271269600006</v>
      </c>
      <c r="G24" s="8">
        <f t="shared" si="38"/>
        <v>2917.7708507840002</v>
      </c>
      <c r="H24" s="34" t="s">
        <v>118</v>
      </c>
      <c r="J24" s="5">
        <v>875</v>
      </c>
      <c r="K24" s="1">
        <v>40</v>
      </c>
      <c r="L24" s="1">
        <v>2516</v>
      </c>
      <c r="M24" s="1">
        <v>1161532.9820000001</v>
      </c>
      <c r="N24" s="6">
        <f t="shared" si="4"/>
        <v>2.323065964</v>
      </c>
      <c r="O24" s="1">
        <f t="shared" si="5"/>
        <v>18.584527712</v>
      </c>
    </row>
    <row r="25" spans="1:15" x14ac:dyDescent="0.25">
      <c r="A25" s="40"/>
      <c r="B25" s="4" t="s">
        <v>52</v>
      </c>
      <c r="C25" s="12" t="str">
        <f t="shared" ref="C25:C26" si="40">CONCATENATE("□",J25,"×",K25,"×",L25)</f>
        <v>□600×50×600</v>
      </c>
      <c r="D25" s="12">
        <v>4</v>
      </c>
      <c r="E25" s="3">
        <f t="shared" ref="E25" si="41">IF(M25&gt;0,(M25*K25/1000000000*7850),(J25*K25*L25/1000000000*7850))</f>
        <v>98.646009327750008</v>
      </c>
      <c r="F25" s="3">
        <f t="shared" ref="F25" si="42">D25*E25</f>
        <v>394.58403731100003</v>
      </c>
      <c r="G25" s="8">
        <f t="shared" ref="G25" si="43">F25*4</f>
        <v>1578.3361492440001</v>
      </c>
      <c r="H25" s="36"/>
      <c r="J25" s="5">
        <v>600</v>
      </c>
      <c r="K25" s="1">
        <v>50</v>
      </c>
      <c r="L25" s="1">
        <v>600</v>
      </c>
      <c r="M25" s="1">
        <v>251327.4123</v>
      </c>
      <c r="N25" s="6">
        <f t="shared" si="4"/>
        <v>0.50265482459999999</v>
      </c>
      <c r="O25" s="1">
        <f t="shared" si="5"/>
        <v>8.0424771935999999</v>
      </c>
    </row>
    <row r="26" spans="1:15" x14ac:dyDescent="0.25">
      <c r="A26" s="40"/>
      <c r="B26" s="4" t="s">
        <v>53</v>
      </c>
      <c r="C26" s="12" t="str">
        <f t="shared" si="40"/>
        <v>□150×12×150</v>
      </c>
      <c r="D26" s="12">
        <v>4</v>
      </c>
      <c r="E26" s="3">
        <f t="shared" ref="E26" si="44">IF(M26&gt;0,(M26*K26/1000000000*7850),(J26*K26*L26/1000000000*7850))</f>
        <v>6.6586056287400011</v>
      </c>
      <c r="F26" s="3">
        <f t="shared" ref="F26:F27" si="45">D26*E26</f>
        <v>26.634422514960004</v>
      </c>
      <c r="G26" s="8">
        <f t="shared" ref="G26:G27" si="46">F26*4</f>
        <v>106.53769005984002</v>
      </c>
      <c r="H26" s="8" t="s">
        <v>107</v>
      </c>
      <c r="J26" s="5">
        <v>150</v>
      </c>
      <c r="K26" s="1">
        <v>12</v>
      </c>
      <c r="L26" s="1">
        <v>150</v>
      </c>
      <c r="M26" s="1">
        <v>70685.834700000007</v>
      </c>
      <c r="N26" s="6">
        <f t="shared" si="4"/>
        <v>0.14137166940000001</v>
      </c>
      <c r="O26" s="1">
        <f t="shared" si="5"/>
        <v>2.2619467104000002</v>
      </c>
    </row>
    <row r="27" spans="1:15" x14ac:dyDescent="0.25">
      <c r="A27" s="40"/>
      <c r="B27" s="4" t="s">
        <v>54</v>
      </c>
      <c r="C27" s="12" t="str">
        <f>CONCATENATE("D",J27,"×",K27)</f>
        <v>D200×280</v>
      </c>
      <c r="D27" s="12">
        <v>2</v>
      </c>
      <c r="E27" s="9">
        <f>0.0314159265*0.28*7850</f>
        <v>69.052206447000003</v>
      </c>
      <c r="F27" s="3">
        <f t="shared" si="45"/>
        <v>138.10441289400001</v>
      </c>
      <c r="G27" s="8">
        <f t="shared" si="46"/>
        <v>552.41765157600003</v>
      </c>
      <c r="H27" s="8" t="s">
        <v>117</v>
      </c>
      <c r="J27" s="5">
        <v>200</v>
      </c>
      <c r="K27" s="1">
        <v>280</v>
      </c>
      <c r="N27" s="6">
        <f>PI()*(J27/2)^2/1000000</f>
        <v>3.1415926535897934E-2</v>
      </c>
      <c r="O27" s="1">
        <f>N27*D27*4*2</f>
        <v>0.50265482457436694</v>
      </c>
    </row>
    <row r="28" spans="1:15" x14ac:dyDescent="0.25">
      <c r="A28" s="39"/>
      <c r="B28" s="4" t="s">
        <v>55</v>
      </c>
      <c r="C28" s="12" t="s">
        <v>56</v>
      </c>
      <c r="D28" s="12">
        <v>4</v>
      </c>
      <c r="E28" s="14" t="s">
        <v>57</v>
      </c>
      <c r="F28" s="3" t="s">
        <v>57</v>
      </c>
      <c r="G28" s="13">
        <f>D28*4</f>
        <v>16</v>
      </c>
      <c r="H28" s="13"/>
      <c r="J28" s="5"/>
      <c r="N28" s="6"/>
    </row>
    <row r="29" spans="1:15" x14ac:dyDescent="0.25">
      <c r="A29" s="4"/>
      <c r="B29" s="37" t="s">
        <v>16</v>
      </c>
      <c r="C29" s="37"/>
      <c r="D29" s="37"/>
      <c r="E29" s="37"/>
      <c r="F29" s="7">
        <f>SUM(F4:F27)</f>
        <v>27658.684230341056</v>
      </c>
      <c r="G29" s="8">
        <f t="shared" si="3"/>
        <v>110634.73692136422</v>
      </c>
      <c r="H29" s="8"/>
    </row>
    <row r="30" spans="1:15" x14ac:dyDescent="0.25">
      <c r="A30" s="4"/>
      <c r="B30" s="37" t="s">
        <v>19</v>
      </c>
      <c r="C30" s="37"/>
      <c r="D30" s="37"/>
      <c r="E30" s="37"/>
      <c r="F30" s="8">
        <f>F29*0.015</f>
        <v>414.88026345511582</v>
      </c>
      <c r="G30" s="8">
        <f t="shared" si="3"/>
        <v>1659.5210538204633</v>
      </c>
      <c r="H30" s="8"/>
    </row>
    <row r="31" spans="1:15" x14ac:dyDescent="0.25">
      <c r="A31" s="4"/>
      <c r="B31" s="37" t="s">
        <v>17</v>
      </c>
      <c r="C31" s="37"/>
      <c r="D31" s="37"/>
      <c r="E31" s="37"/>
      <c r="F31" s="7">
        <f>F29+F30</f>
        <v>28073.564493796173</v>
      </c>
      <c r="G31" s="8">
        <f t="shared" si="3"/>
        <v>112294.25797518469</v>
      </c>
      <c r="H31" s="8"/>
    </row>
    <row r="33" spans="1:10" x14ac:dyDescent="0.25">
      <c r="J33" s="5"/>
    </row>
    <row r="34" spans="1:10" x14ac:dyDescent="0.25">
      <c r="J34" s="5"/>
    </row>
    <row r="39" spans="1:10" x14ac:dyDescent="0.25">
      <c r="A39" s="33" t="s">
        <v>108</v>
      </c>
      <c r="B39" s="1">
        <v>10</v>
      </c>
      <c r="C39" s="5">
        <f>SUMIF($K$4:$K$22,B39,$G$4:$G$22)</f>
        <v>474.99408</v>
      </c>
    </row>
    <row r="40" spans="1:10" x14ac:dyDescent="0.25">
      <c r="A40" s="33"/>
      <c r="B40" s="1">
        <v>12</v>
      </c>
      <c r="C40" s="5">
        <f>SUMIF($K$4:$K$22,B40,$G$4:$G$22)+G26</f>
        <v>13254.998636518321</v>
      </c>
    </row>
    <row r="41" spans="1:10" x14ac:dyDescent="0.25">
      <c r="A41" s="33"/>
      <c r="B41" s="1">
        <v>16</v>
      </c>
      <c r="C41" s="5">
        <f t="shared" ref="C41:C43" si="47">SUMIF($K$4:$K$22,B41,$G$4:$G$22)</f>
        <v>57878.647225487992</v>
      </c>
    </row>
    <row r="42" spans="1:10" x14ac:dyDescent="0.25">
      <c r="A42" s="33"/>
      <c r="B42" s="1">
        <v>20</v>
      </c>
      <c r="C42" s="5">
        <f t="shared" si="47"/>
        <v>1939.8958482583998</v>
      </c>
    </row>
    <row r="43" spans="1:10" x14ac:dyDescent="0.25">
      <c r="A43" s="33"/>
      <c r="B43" s="1">
        <v>32</v>
      </c>
      <c r="C43" s="5">
        <f t="shared" si="47"/>
        <v>24316.023915313919</v>
      </c>
    </row>
    <row r="44" spans="1:10" x14ac:dyDescent="0.25">
      <c r="A44" s="33"/>
      <c r="B44" s="1" t="s">
        <v>101</v>
      </c>
      <c r="C44" s="5">
        <f>SUM(C39:C43)</f>
        <v>97864.559705578635</v>
      </c>
    </row>
    <row r="45" spans="1:10" x14ac:dyDescent="0.25">
      <c r="A45" s="1" t="s">
        <v>119</v>
      </c>
      <c r="B45" s="1">
        <v>282</v>
      </c>
      <c r="C45" s="5">
        <f>G23</f>
        <v>7721.6525641816006</v>
      </c>
    </row>
    <row r="46" spans="1:10" x14ac:dyDescent="0.25">
      <c r="A46" s="33" t="s">
        <v>118</v>
      </c>
      <c r="B46" s="1">
        <v>40</v>
      </c>
      <c r="C46" s="5">
        <f>G24</f>
        <v>2917.7708507840002</v>
      </c>
    </row>
    <row r="47" spans="1:10" x14ac:dyDescent="0.25">
      <c r="A47" s="33"/>
      <c r="B47" s="1">
        <v>50</v>
      </c>
      <c r="C47" s="5">
        <f>G25</f>
        <v>1578.3361492440001</v>
      </c>
      <c r="D47" s="5">
        <f>SUM(C39:C48)</f>
        <v>208499.29662694284</v>
      </c>
    </row>
    <row r="48" spans="1:10" x14ac:dyDescent="0.25">
      <c r="A48" s="1" t="s">
        <v>116</v>
      </c>
      <c r="B48" s="1" t="s">
        <v>100</v>
      </c>
      <c r="C48" s="5">
        <f>G27</f>
        <v>552.41765157600003</v>
      </c>
      <c r="D48" s="5"/>
    </row>
    <row r="49" spans="1:3" x14ac:dyDescent="0.25">
      <c r="A49" s="33" t="s">
        <v>18</v>
      </c>
      <c r="B49" s="1" t="s">
        <v>102</v>
      </c>
      <c r="C49" s="25">
        <f>SUM(O4:O9)/2+SUM(O17:O20)/2+SUM(O23:O27)</f>
        <v>603.81536121337433</v>
      </c>
    </row>
    <row r="50" spans="1:3" x14ac:dyDescent="0.25">
      <c r="A50" s="33"/>
      <c r="B50" s="1" t="s">
        <v>103</v>
      </c>
      <c r="C50" s="25">
        <f>SUM(O4:O9)/2+SUM(O17:O20)/2+SUM(O10:O16)+SUM(O21:O22)</f>
        <v>870.24461838160005</v>
      </c>
    </row>
  </sheetData>
  <mergeCells count="14">
    <mergeCell ref="A39:A44"/>
    <mergeCell ref="A49:A50"/>
    <mergeCell ref="N3:O3"/>
    <mergeCell ref="H4:H22"/>
    <mergeCell ref="A46:A47"/>
    <mergeCell ref="H24:H25"/>
    <mergeCell ref="B29:E29"/>
    <mergeCell ref="B30:E30"/>
    <mergeCell ref="A6:A9"/>
    <mergeCell ref="B31:E31"/>
    <mergeCell ref="A10:A15"/>
    <mergeCell ref="A19:A20"/>
    <mergeCell ref="A21:A22"/>
    <mergeCell ref="A23:A28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66AB-B5A2-4BD3-AA38-47C50934CC0D}">
  <dimension ref="A3:O24"/>
  <sheetViews>
    <sheetView workbookViewId="0">
      <selection activeCell="G6" sqref="G6:G7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16.77734375" style="1" customWidth="1"/>
    <col min="8" max="8" width="10.6640625" style="1" customWidth="1"/>
    <col min="9" max="16384" width="9" style="1"/>
  </cols>
  <sheetData>
    <row r="3" spans="1:15" ht="13.5" customHeight="1" x14ac:dyDescent="0.25">
      <c r="A3" s="4" t="s">
        <v>22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31</v>
      </c>
      <c r="H3" s="4" t="s">
        <v>63</v>
      </c>
      <c r="J3" s="1" t="s">
        <v>7</v>
      </c>
      <c r="K3" s="1" t="s">
        <v>6</v>
      </c>
      <c r="L3" s="1" t="s">
        <v>5</v>
      </c>
      <c r="M3" s="1" t="s">
        <v>8</v>
      </c>
      <c r="N3" s="33" t="s">
        <v>18</v>
      </c>
      <c r="O3" s="33"/>
    </row>
    <row r="4" spans="1:15" x14ac:dyDescent="0.25">
      <c r="A4" s="4" t="s">
        <v>23</v>
      </c>
      <c r="B4" s="2" t="s">
        <v>21</v>
      </c>
      <c r="C4" s="2" t="str">
        <f t="shared" ref="C4:C8" si="0">CONCATENATE("□",J4,"×",K4,"×",L4)</f>
        <v>□1508×16×25289</v>
      </c>
      <c r="D4" s="2">
        <v>1</v>
      </c>
      <c r="E4" s="3">
        <f t="shared" ref="E4:E8" si="1">IF(M4&gt;0,(M4*K4/1000000000*7850),(J4*K4*L4/1000000000*7850))</f>
        <v>4789.8579872</v>
      </c>
      <c r="F4" s="3">
        <f t="shared" ref="F4:F9" si="2">D4*E4</f>
        <v>4789.8579872</v>
      </c>
      <c r="G4" s="8">
        <f>F4*4</f>
        <v>19159.4319488</v>
      </c>
      <c r="H4" s="41" t="s">
        <v>108</v>
      </c>
      <c r="J4" s="5">
        <v>1508</v>
      </c>
      <c r="K4" s="1">
        <v>16</v>
      </c>
      <c r="L4" s="1">
        <v>25289</v>
      </c>
      <c r="N4" s="6">
        <f>IF(M4&gt;0,(M4*2/1000000),(J4*L4*2/1000000))</f>
        <v>76.271624000000003</v>
      </c>
      <c r="O4" s="1">
        <f>N4*D4*N4</f>
        <v>5817.3606275973762</v>
      </c>
    </row>
    <row r="5" spans="1:15" x14ac:dyDescent="0.25">
      <c r="A5" s="4" t="s">
        <v>24</v>
      </c>
      <c r="B5" s="2" t="s">
        <v>25</v>
      </c>
      <c r="C5" s="2" t="str">
        <f t="shared" si="0"/>
        <v>□1000×16×25206</v>
      </c>
      <c r="D5" s="2">
        <v>1</v>
      </c>
      <c r="E5" s="3">
        <f t="shared" si="1"/>
        <v>3165.8735999999999</v>
      </c>
      <c r="F5" s="3">
        <f t="shared" si="2"/>
        <v>3165.8735999999999</v>
      </c>
      <c r="G5" s="8">
        <f t="shared" ref="G5:G12" si="3">F5*4</f>
        <v>12663.4944</v>
      </c>
      <c r="H5" s="41"/>
      <c r="J5" s="5">
        <v>1000</v>
      </c>
      <c r="K5" s="1">
        <v>16</v>
      </c>
      <c r="L5" s="1">
        <v>25206</v>
      </c>
      <c r="N5" s="6">
        <f t="shared" ref="N5:N9" si="4">IF(M5&gt;0,(M5*2/1000000),(J5*L5*2/1000000))</f>
        <v>50.411999999999999</v>
      </c>
      <c r="O5" s="1">
        <f t="shared" ref="O5:O9" si="5">N5*D5*N5</f>
        <v>2541.3697440000001</v>
      </c>
    </row>
    <row r="6" spans="1:15" x14ac:dyDescent="0.25">
      <c r="A6" s="4" t="s">
        <v>27</v>
      </c>
      <c r="B6" s="4" t="s">
        <v>26</v>
      </c>
      <c r="C6" s="2" t="str">
        <f t="shared" si="0"/>
        <v>□1064×16×25289</v>
      </c>
      <c r="D6" s="2">
        <v>2</v>
      </c>
      <c r="E6" s="3">
        <f t="shared" si="1"/>
        <v>3379.5814976000001</v>
      </c>
      <c r="F6" s="3">
        <f t="shared" si="2"/>
        <v>6759.1629952000003</v>
      </c>
      <c r="G6" s="8">
        <f t="shared" si="3"/>
        <v>27036.651980800001</v>
      </c>
      <c r="H6" s="41"/>
      <c r="J6" s="5">
        <v>1064</v>
      </c>
      <c r="K6" s="1">
        <v>16</v>
      </c>
      <c r="L6" s="1">
        <v>25289</v>
      </c>
      <c r="N6" s="6">
        <f t="shared" si="4"/>
        <v>53.814991999999997</v>
      </c>
      <c r="O6" s="1">
        <f t="shared" si="5"/>
        <v>5792.106727920127</v>
      </c>
    </row>
    <row r="7" spans="1:15" x14ac:dyDescent="0.25">
      <c r="A7" s="38" t="s">
        <v>28</v>
      </c>
      <c r="B7" s="4" t="s">
        <v>11</v>
      </c>
      <c r="C7" s="2" t="str">
        <f t="shared" si="0"/>
        <v>□1500×12×1000</v>
      </c>
      <c r="D7" s="2">
        <v>10</v>
      </c>
      <c r="E7" s="3">
        <f t="shared" si="1"/>
        <v>90.6273747093</v>
      </c>
      <c r="F7" s="3">
        <f t="shared" si="2"/>
        <v>906.273747093</v>
      </c>
      <c r="G7" s="8">
        <f t="shared" si="3"/>
        <v>3625.094988372</v>
      </c>
      <c r="H7" s="41"/>
      <c r="J7" s="5">
        <v>1500</v>
      </c>
      <c r="K7" s="1">
        <v>12</v>
      </c>
      <c r="L7" s="1">
        <v>1000</v>
      </c>
      <c r="M7" s="1">
        <v>962074.04150000005</v>
      </c>
      <c r="N7" s="6">
        <f t="shared" si="4"/>
        <v>1.9241480830000002</v>
      </c>
      <c r="O7" s="1">
        <f t="shared" si="5"/>
        <v>37.023458453125755</v>
      </c>
    </row>
    <row r="8" spans="1:15" x14ac:dyDescent="0.25">
      <c r="A8" s="39"/>
      <c r="B8" s="4" t="s">
        <v>14</v>
      </c>
      <c r="C8" s="2" t="str">
        <f t="shared" si="0"/>
        <v>□1719×10×110</v>
      </c>
      <c r="D8" s="2">
        <v>10</v>
      </c>
      <c r="E8" s="3">
        <f t="shared" si="1"/>
        <v>14.843565</v>
      </c>
      <c r="F8" s="3">
        <f t="shared" si="2"/>
        <v>148.43565000000001</v>
      </c>
      <c r="G8" s="8">
        <f t="shared" si="3"/>
        <v>593.74260000000004</v>
      </c>
      <c r="H8" s="41"/>
      <c r="J8" s="5">
        <v>1719</v>
      </c>
      <c r="K8" s="1">
        <v>10</v>
      </c>
      <c r="L8" s="1">
        <v>110</v>
      </c>
      <c r="N8" s="6">
        <f t="shared" si="4"/>
        <v>0.37818000000000002</v>
      </c>
      <c r="O8" s="1">
        <f t="shared" si="5"/>
        <v>1.4302011240000001</v>
      </c>
    </row>
    <row r="9" spans="1:15" x14ac:dyDescent="0.25">
      <c r="A9" s="4" t="s">
        <v>29</v>
      </c>
      <c r="B9" s="4" t="s">
        <v>30</v>
      </c>
      <c r="C9" s="10" t="str">
        <f>CONCATENATE("□",J9,"×",K9,"×",L9,"(平均)")</f>
        <v>□140×12×25248(平均)</v>
      </c>
      <c r="D9" s="2">
        <v>8</v>
      </c>
      <c r="E9" s="11">
        <f>IF(M9&gt;0,(M9*K9/1000000000*7850),(J9*K9*L9/1000000000*7850))</f>
        <v>332.97062399999999</v>
      </c>
      <c r="F9" s="3">
        <f t="shared" si="2"/>
        <v>2663.7649919999999</v>
      </c>
      <c r="G9" s="8">
        <f t="shared" si="3"/>
        <v>10655.059968</v>
      </c>
      <c r="H9" s="41"/>
      <c r="J9" s="5">
        <v>140</v>
      </c>
      <c r="K9" s="1">
        <v>12</v>
      </c>
      <c r="L9" s="5">
        <f>(25289+25207)/2</f>
        <v>25248</v>
      </c>
      <c r="N9" s="6">
        <f t="shared" si="4"/>
        <v>7.0694400000000002</v>
      </c>
      <c r="O9" s="1">
        <f t="shared" si="5"/>
        <v>399.8158553088</v>
      </c>
    </row>
    <row r="10" spans="1:15" x14ac:dyDescent="0.25">
      <c r="A10" s="4"/>
      <c r="B10" s="37" t="s">
        <v>16</v>
      </c>
      <c r="C10" s="37"/>
      <c r="D10" s="37"/>
      <c r="E10" s="37"/>
      <c r="F10" s="7">
        <f>SUM(F4:F9)</f>
        <v>18433.368971493001</v>
      </c>
      <c r="G10" s="8">
        <f t="shared" si="3"/>
        <v>73733.475885972002</v>
      </c>
      <c r="H10" s="41"/>
    </row>
    <row r="11" spans="1:15" x14ac:dyDescent="0.25">
      <c r="A11" s="4"/>
      <c r="B11" s="37" t="s">
        <v>19</v>
      </c>
      <c r="C11" s="37"/>
      <c r="D11" s="37"/>
      <c r="E11" s="37"/>
      <c r="F11" s="8">
        <f>F10*0.015</f>
        <v>276.500534572395</v>
      </c>
      <c r="G11" s="8">
        <f t="shared" si="3"/>
        <v>1106.00213828958</v>
      </c>
      <c r="H11" s="41"/>
    </row>
    <row r="12" spans="1:15" x14ac:dyDescent="0.25">
      <c r="A12" s="4"/>
      <c r="B12" s="37" t="s">
        <v>17</v>
      </c>
      <c r="C12" s="37"/>
      <c r="D12" s="37"/>
      <c r="E12" s="37"/>
      <c r="F12" s="7">
        <f>F10+F11</f>
        <v>18709.869506065395</v>
      </c>
      <c r="G12" s="8">
        <f t="shared" si="3"/>
        <v>74839.478024261582</v>
      </c>
      <c r="H12" s="41"/>
    </row>
    <row r="19" spans="1:3" x14ac:dyDescent="0.25">
      <c r="A19" s="33" t="s">
        <v>108</v>
      </c>
      <c r="B19" s="1">
        <v>10</v>
      </c>
      <c r="C19" s="5">
        <f>SUMIF($K$4:$K$9,B19,$G$4:$G$9)</f>
        <v>593.74260000000004</v>
      </c>
    </row>
    <row r="20" spans="1:3" x14ac:dyDescent="0.25">
      <c r="A20" s="33"/>
      <c r="B20" s="1">
        <v>12</v>
      </c>
      <c r="C20" s="5">
        <f t="shared" ref="C20:C21" si="6">SUMIF($K$4:$K$9,B20,$G$4:$G$9)</f>
        <v>14280.154956372</v>
      </c>
    </row>
    <row r="21" spans="1:3" x14ac:dyDescent="0.25">
      <c r="A21" s="33"/>
      <c r="B21" s="1">
        <v>16</v>
      </c>
      <c r="C21" s="5">
        <f t="shared" si="6"/>
        <v>58859.578329600001</v>
      </c>
    </row>
    <row r="22" spans="1:3" x14ac:dyDescent="0.25">
      <c r="A22" s="33"/>
      <c r="B22" s="1" t="s">
        <v>101</v>
      </c>
      <c r="C22" s="5">
        <f>SUM(C19:C21)</f>
        <v>73733.475885972002</v>
      </c>
    </row>
    <row r="23" spans="1:3" x14ac:dyDescent="0.25">
      <c r="A23" s="33" t="s">
        <v>18</v>
      </c>
      <c r="B23" s="1" t="s">
        <v>102</v>
      </c>
      <c r="C23" s="1">
        <f>SUM(O4:O5)/2</f>
        <v>4179.3651857986879</v>
      </c>
    </row>
    <row r="24" spans="1:3" x14ac:dyDescent="0.25">
      <c r="A24" s="33"/>
      <c r="B24" s="1" t="s">
        <v>103</v>
      </c>
      <c r="C24" s="1">
        <f>SUM(O4:O5)/2+SUM(O6:O9)*4</f>
        <v>29100.870157022895</v>
      </c>
    </row>
  </sheetData>
  <mergeCells count="8">
    <mergeCell ref="A19:A22"/>
    <mergeCell ref="A23:A24"/>
    <mergeCell ref="N3:O3"/>
    <mergeCell ref="B10:E10"/>
    <mergeCell ref="B11:E11"/>
    <mergeCell ref="B12:E12"/>
    <mergeCell ref="A7:A8"/>
    <mergeCell ref="H4:H12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2B6D-7CAD-41CA-AC3E-42EA62E5D3DF}">
  <dimension ref="A3:O47"/>
  <sheetViews>
    <sheetView tabSelected="1" topLeftCell="A19" workbookViewId="0">
      <selection activeCell="G26" sqref="G26:G27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8" width="10.33203125" style="1" customWidth="1"/>
    <col min="9" max="16384" width="9" style="1"/>
  </cols>
  <sheetData>
    <row r="3" spans="1:15" ht="13.5" customHeight="1" x14ac:dyDescent="0.25">
      <c r="A3" s="4" t="s">
        <v>22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74</v>
      </c>
      <c r="H3" s="4" t="s">
        <v>63</v>
      </c>
      <c r="J3" s="1" t="s">
        <v>7</v>
      </c>
      <c r="K3" s="1" t="s">
        <v>6</v>
      </c>
      <c r="L3" s="1" t="s">
        <v>5</v>
      </c>
      <c r="M3" s="1" t="s">
        <v>8</v>
      </c>
      <c r="N3" s="33" t="s">
        <v>18</v>
      </c>
      <c r="O3" s="33"/>
    </row>
    <row r="4" spans="1:15" x14ac:dyDescent="0.25">
      <c r="A4" s="4" t="s">
        <v>34</v>
      </c>
      <c r="B4" s="2" t="s">
        <v>21</v>
      </c>
      <c r="C4" s="2" t="str">
        <f t="shared" ref="C4:C17" si="0">CONCATENATE("□",J4,"×",K4,"×",L4)</f>
        <v>□1508×24×10667</v>
      </c>
      <c r="D4" s="2">
        <v>1</v>
      </c>
      <c r="E4" s="3">
        <f t="shared" ref="E4:E17" si="1">IF(M4&gt;0,(M4*K4/1000000000*7850),(J4*K4*L4/1000000000*7850))</f>
        <v>3030.5715023999996</v>
      </c>
      <c r="F4" s="3">
        <f t="shared" ref="F4:F26" si="2">D4*E4</f>
        <v>3030.5715023999996</v>
      </c>
      <c r="G4" s="8">
        <f>F4*2</f>
        <v>6061.1430047999993</v>
      </c>
      <c r="H4" s="34" t="s">
        <v>108</v>
      </c>
      <c r="J4" s="5">
        <v>1508</v>
      </c>
      <c r="K4" s="1">
        <v>24</v>
      </c>
      <c r="L4" s="1">
        <f>10679-12</f>
        <v>10667</v>
      </c>
      <c r="N4" s="6">
        <f>IF(M4&gt;0,(M4*2/1000000),(J4*L4*2/1000000))</f>
        <v>32.171672000000001</v>
      </c>
      <c r="O4" s="1">
        <f>N4*D4*2</f>
        <v>64.343344000000002</v>
      </c>
    </row>
    <row r="5" spans="1:15" x14ac:dyDescent="0.25">
      <c r="A5" s="4" t="s">
        <v>35</v>
      </c>
      <c r="B5" s="2" t="s">
        <v>25</v>
      </c>
      <c r="C5" s="2" t="str">
        <f t="shared" si="0"/>
        <v>□1000×24×9332</v>
      </c>
      <c r="D5" s="2">
        <v>1</v>
      </c>
      <c r="E5" s="3">
        <f t="shared" si="1"/>
        <v>1758.1487999999999</v>
      </c>
      <c r="F5" s="3">
        <f t="shared" si="2"/>
        <v>1758.1487999999999</v>
      </c>
      <c r="G5" s="8">
        <f t="shared" ref="G5:G33" si="3">F5*2</f>
        <v>3516.2975999999999</v>
      </c>
      <c r="H5" s="35"/>
      <c r="J5" s="5">
        <v>1000</v>
      </c>
      <c r="K5" s="1">
        <v>24</v>
      </c>
      <c r="L5" s="1">
        <v>9332</v>
      </c>
      <c r="N5" s="6">
        <f t="shared" ref="N5:N29" si="4">IF(M5&gt;0,(M5*2/1000000),(J5*L5*2/1000000))</f>
        <v>18.664000000000001</v>
      </c>
      <c r="O5" s="1">
        <f t="shared" ref="O5:O29" si="5">N5*D5*2</f>
        <v>37.328000000000003</v>
      </c>
    </row>
    <row r="6" spans="1:15" x14ac:dyDescent="0.25">
      <c r="A6" s="38" t="s">
        <v>36</v>
      </c>
      <c r="B6" s="4" t="s">
        <v>26</v>
      </c>
      <c r="C6" s="2" t="str">
        <f t="shared" si="0"/>
        <v>□1080×24×10667</v>
      </c>
      <c r="D6" s="2">
        <v>2</v>
      </c>
      <c r="E6" s="3">
        <f t="shared" si="1"/>
        <v>2170.4358240000001</v>
      </c>
      <c r="F6" s="3">
        <f t="shared" si="2"/>
        <v>4340.8716480000003</v>
      </c>
      <c r="G6" s="8">
        <f t="shared" si="3"/>
        <v>8681.7432960000006</v>
      </c>
      <c r="H6" s="35"/>
      <c r="J6" s="5">
        <v>1080</v>
      </c>
      <c r="K6" s="1">
        <v>24</v>
      </c>
      <c r="L6" s="1">
        <f>L4</f>
        <v>10667</v>
      </c>
      <c r="N6" s="6">
        <f t="shared" si="4"/>
        <v>23.04072</v>
      </c>
      <c r="O6" s="1">
        <f t="shared" si="5"/>
        <v>92.162880000000001</v>
      </c>
    </row>
    <row r="7" spans="1:15" x14ac:dyDescent="0.25">
      <c r="A7" s="40"/>
      <c r="B7" s="4" t="s">
        <v>33</v>
      </c>
      <c r="C7" s="2" t="str">
        <f t="shared" si="0"/>
        <v>□1321×24×1310</v>
      </c>
      <c r="D7" s="2">
        <v>2</v>
      </c>
      <c r="E7" s="3">
        <f t="shared" si="1"/>
        <v>51.826604125320003</v>
      </c>
      <c r="F7" s="3">
        <f t="shared" si="2"/>
        <v>103.65320825064001</v>
      </c>
      <c r="G7" s="8">
        <f t="shared" si="3"/>
        <v>207.30641650128001</v>
      </c>
      <c r="H7" s="35"/>
      <c r="J7" s="5">
        <v>1321</v>
      </c>
      <c r="K7" s="1">
        <v>24</v>
      </c>
      <c r="L7" s="1">
        <v>1310</v>
      </c>
      <c r="M7" s="1">
        <v>275088.1323</v>
      </c>
      <c r="N7" s="6">
        <f t="shared" si="4"/>
        <v>0.55017626460000002</v>
      </c>
      <c r="O7" s="1">
        <f t="shared" si="5"/>
        <v>2.2007050584000001</v>
      </c>
    </row>
    <row r="8" spans="1:15" x14ac:dyDescent="0.25">
      <c r="A8" s="38" t="s">
        <v>37</v>
      </c>
      <c r="B8" s="4" t="s">
        <v>11</v>
      </c>
      <c r="C8" s="2" t="str">
        <f t="shared" si="0"/>
        <v>□1000×12×1500</v>
      </c>
      <c r="D8" s="2">
        <v>3</v>
      </c>
      <c r="E8" s="3">
        <f t="shared" si="1"/>
        <v>89.037228802139992</v>
      </c>
      <c r="F8" s="3">
        <f t="shared" si="2"/>
        <v>267.11168640641995</v>
      </c>
      <c r="G8" s="8">
        <f t="shared" si="3"/>
        <v>534.2233728128399</v>
      </c>
      <c r="H8" s="35"/>
      <c r="J8" s="5">
        <v>1000</v>
      </c>
      <c r="K8" s="1">
        <v>12</v>
      </c>
      <c r="L8" s="1">
        <v>1500</v>
      </c>
      <c r="M8" s="1">
        <v>945193.51170000003</v>
      </c>
      <c r="N8" s="6">
        <f t="shared" si="4"/>
        <v>1.8903870234</v>
      </c>
      <c r="O8" s="1">
        <f t="shared" si="5"/>
        <v>11.3423221404</v>
      </c>
    </row>
    <row r="9" spans="1:15" x14ac:dyDescent="0.25">
      <c r="A9" s="40"/>
      <c r="B9" s="4" t="s">
        <v>12</v>
      </c>
      <c r="C9" s="2" t="str">
        <f t="shared" si="0"/>
        <v>□1000×24×1500</v>
      </c>
      <c r="D9" s="2">
        <v>2</v>
      </c>
      <c r="E9" s="3">
        <f t="shared" si="1"/>
        <v>178.07445760427998</v>
      </c>
      <c r="F9" s="3">
        <f t="shared" si="2"/>
        <v>356.14891520855997</v>
      </c>
      <c r="G9" s="8">
        <f t="shared" si="3"/>
        <v>712.29783041711994</v>
      </c>
      <c r="H9" s="35"/>
      <c r="J9" s="5">
        <v>1000</v>
      </c>
      <c r="K9" s="1">
        <v>24</v>
      </c>
      <c r="L9" s="1">
        <v>1500</v>
      </c>
      <c r="M9" s="1">
        <v>945193.51170000003</v>
      </c>
      <c r="N9" s="6">
        <f t="shared" si="4"/>
        <v>1.8903870234</v>
      </c>
      <c r="O9" s="1">
        <f t="shared" si="5"/>
        <v>7.5615480935999999</v>
      </c>
    </row>
    <row r="10" spans="1:15" x14ac:dyDescent="0.25">
      <c r="A10" s="40"/>
      <c r="B10" s="4" t="s">
        <v>13</v>
      </c>
      <c r="C10" s="2" t="str">
        <f t="shared" si="0"/>
        <v>□1500×24×1695</v>
      </c>
      <c r="D10" s="2">
        <v>1</v>
      </c>
      <c r="E10" s="3">
        <f t="shared" si="1"/>
        <v>310.94819220660003</v>
      </c>
      <c r="F10" s="3">
        <f t="shared" si="2"/>
        <v>310.94819220660003</v>
      </c>
      <c r="G10" s="8">
        <f t="shared" si="3"/>
        <v>621.89638441320005</v>
      </c>
      <c r="H10" s="35"/>
      <c r="J10" s="5">
        <v>1500</v>
      </c>
      <c r="K10" s="1">
        <v>24</v>
      </c>
      <c r="L10" s="1">
        <v>1695</v>
      </c>
      <c r="M10" s="1">
        <v>1650468.1115000001</v>
      </c>
      <c r="N10" s="6">
        <f t="shared" si="4"/>
        <v>3.3009362230000003</v>
      </c>
      <c r="O10" s="1">
        <f t="shared" si="5"/>
        <v>6.6018724460000007</v>
      </c>
    </row>
    <row r="11" spans="1:15" x14ac:dyDescent="0.25">
      <c r="A11" s="40"/>
      <c r="B11" s="4" t="s">
        <v>64</v>
      </c>
      <c r="C11" s="2" t="str">
        <f t="shared" si="0"/>
        <v>□1500×24×1402</v>
      </c>
      <c r="D11" s="2">
        <v>1</v>
      </c>
      <c r="E11" s="3">
        <f t="shared" si="1"/>
        <v>216.95784881339995</v>
      </c>
      <c r="F11" s="3">
        <f t="shared" si="2"/>
        <v>216.95784881339995</v>
      </c>
      <c r="G11" s="8">
        <f t="shared" si="3"/>
        <v>433.9156976267999</v>
      </c>
      <c r="H11" s="35"/>
      <c r="J11" s="5">
        <v>1500</v>
      </c>
      <c r="K11" s="1">
        <v>24</v>
      </c>
      <c r="L11" s="1">
        <v>1402</v>
      </c>
      <c r="M11" s="1">
        <v>1151580.9384999999</v>
      </c>
      <c r="N11" s="6">
        <f t="shared" si="4"/>
        <v>2.303161877</v>
      </c>
      <c r="O11" s="1">
        <f t="shared" si="5"/>
        <v>4.6063237539999999</v>
      </c>
    </row>
    <row r="12" spans="1:15" x14ac:dyDescent="0.25">
      <c r="A12" s="40"/>
      <c r="B12" s="4" t="s">
        <v>75</v>
      </c>
      <c r="C12" s="2" t="str">
        <f t="shared" ref="C12" si="6">CONCATENATE("□",J12,"×",K12,"×",L12)</f>
        <v>□400×24×488</v>
      </c>
      <c r="D12" s="2">
        <v>1</v>
      </c>
      <c r="E12" s="3">
        <f t="shared" ref="E12" si="7">IF(M12&gt;0,(M12*K12/1000000000*7850),(J12*K12*L12/1000000000*7850))</f>
        <v>36.775680000000001</v>
      </c>
      <c r="F12" s="3">
        <f t="shared" ref="F12" si="8">D12*E12</f>
        <v>36.775680000000001</v>
      </c>
      <c r="G12" s="8">
        <f t="shared" si="3"/>
        <v>73.551360000000003</v>
      </c>
      <c r="H12" s="35"/>
      <c r="J12" s="5">
        <v>400</v>
      </c>
      <c r="K12" s="1">
        <v>24</v>
      </c>
      <c r="L12" s="1">
        <v>488</v>
      </c>
      <c r="N12" s="6">
        <f t="shared" si="4"/>
        <v>0.39040000000000002</v>
      </c>
      <c r="O12" s="1">
        <f t="shared" si="5"/>
        <v>0.78080000000000005</v>
      </c>
    </row>
    <row r="13" spans="1:15" x14ac:dyDescent="0.25">
      <c r="A13" s="40"/>
      <c r="B13" s="4" t="s">
        <v>68</v>
      </c>
      <c r="C13" s="2" t="str">
        <f t="shared" ref="C13" si="9">CONCATENATE("□",J13,"×",K13,"×",L13)</f>
        <v>□1057×24×1561</v>
      </c>
      <c r="D13" s="2">
        <v>1</v>
      </c>
      <c r="E13" s="3">
        <f t="shared" ref="E13" si="10">IF(M13&gt;0,(M13*K13/1000000000*7850),(J13*K13*L13/1000000000*7850))</f>
        <v>204.97897384464</v>
      </c>
      <c r="F13" s="3">
        <f t="shared" ref="F13" si="11">D13*E13</f>
        <v>204.97897384464</v>
      </c>
      <c r="G13" s="8">
        <f t="shared" si="3"/>
        <v>409.95794768927999</v>
      </c>
      <c r="H13" s="35"/>
      <c r="J13" s="5">
        <v>1057</v>
      </c>
      <c r="K13" s="1">
        <v>24</v>
      </c>
      <c r="L13" s="1">
        <v>1561</v>
      </c>
      <c r="M13" s="1">
        <v>1087998.7996</v>
      </c>
      <c r="N13" s="6">
        <f t="shared" si="4"/>
        <v>2.1759975992</v>
      </c>
      <c r="O13" s="1">
        <f t="shared" si="5"/>
        <v>4.3519951984</v>
      </c>
    </row>
    <row r="14" spans="1:15" x14ac:dyDescent="0.25">
      <c r="A14" s="40"/>
      <c r="B14" s="4" t="s">
        <v>246</v>
      </c>
      <c r="C14" s="2" t="str">
        <f t="shared" ref="C14" si="12">CONCATENATE("□",J14,"×",K14,"×",L14)</f>
        <v>□584×16×584</v>
      </c>
      <c r="D14" s="2">
        <f>D13</f>
        <v>1</v>
      </c>
      <c r="E14" s="3">
        <f t="shared" ref="E14" si="13">IF(M14&gt;0,(M14*K14/1000000000*7850),(J14*K14*L14/1000000000*7850))</f>
        <v>33.643813353600002</v>
      </c>
      <c r="F14" s="3">
        <f t="shared" ref="F14" si="14">D14*E14</f>
        <v>33.643813353600002</v>
      </c>
      <c r="G14" s="8">
        <f t="shared" ref="G14" si="15">F14*2</f>
        <v>67.287626707200005</v>
      </c>
      <c r="H14" s="35"/>
      <c r="J14" s="5">
        <v>584</v>
      </c>
      <c r="K14" s="1">
        <v>16</v>
      </c>
      <c r="L14" s="1">
        <v>584</v>
      </c>
      <c r="M14" s="1">
        <v>267864.75599999999</v>
      </c>
      <c r="N14" s="6">
        <f t="shared" si="4"/>
        <v>0.53572951199999996</v>
      </c>
      <c r="O14" s="1">
        <f t="shared" si="5"/>
        <v>1.0714590239999999</v>
      </c>
    </row>
    <row r="15" spans="1:15" x14ac:dyDescent="0.25">
      <c r="A15" s="40"/>
      <c r="B15" s="4" t="s">
        <v>247</v>
      </c>
      <c r="C15" s="2" t="str">
        <f t="shared" ref="C15" si="16">CONCATENATE("□",J15,"×",K15,"×",L15)</f>
        <v>□150×8×150</v>
      </c>
      <c r="D15" s="2">
        <f>D13*4</f>
        <v>4</v>
      </c>
      <c r="E15" s="3">
        <f t="shared" ref="E15" si="17">IF(M15&gt;0,(M15*K15/1000000000*7850),(J15*K15*L15/1000000000*7850))</f>
        <v>1.413</v>
      </c>
      <c r="F15" s="3">
        <f t="shared" ref="F15" si="18">D15*E15</f>
        <v>5.6520000000000001</v>
      </c>
      <c r="G15" s="8">
        <f t="shared" ref="G15" si="19">F15*2</f>
        <v>11.304</v>
      </c>
      <c r="H15" s="35"/>
      <c r="J15" s="5">
        <v>150</v>
      </c>
      <c r="K15" s="1">
        <v>8</v>
      </c>
      <c r="L15" s="1">
        <v>150</v>
      </c>
      <c r="N15" s="6">
        <f t="shared" ref="N15" si="20">IF(M15&gt;0,(M15*2/1000000),(J15*L15*2/1000000))</f>
        <v>4.4999999999999998E-2</v>
      </c>
      <c r="O15" s="1">
        <f t="shared" ref="O15" si="21">N15*D15*2</f>
        <v>0.36</v>
      </c>
    </row>
    <row r="16" spans="1:15" x14ac:dyDescent="0.25">
      <c r="A16" s="40"/>
      <c r="B16" s="4" t="s">
        <v>14</v>
      </c>
      <c r="C16" s="2" t="str">
        <f t="shared" si="0"/>
        <v>□110×10×1719</v>
      </c>
      <c r="D16" s="2">
        <f>SUM(D8:D10)</f>
        <v>6</v>
      </c>
      <c r="E16" s="3">
        <f t="shared" si="1"/>
        <v>14.843565</v>
      </c>
      <c r="F16" s="3">
        <f t="shared" si="2"/>
        <v>89.061390000000003</v>
      </c>
      <c r="G16" s="8">
        <f t="shared" si="3"/>
        <v>178.12278000000001</v>
      </c>
      <c r="H16" s="35"/>
      <c r="J16" s="5">
        <v>110</v>
      </c>
      <c r="K16" s="1">
        <v>10</v>
      </c>
      <c r="L16" s="5">
        <v>1719</v>
      </c>
      <c r="N16" s="6">
        <f t="shared" si="4"/>
        <v>0.37818000000000002</v>
      </c>
      <c r="O16" s="1">
        <f t="shared" si="5"/>
        <v>4.5381600000000004</v>
      </c>
    </row>
    <row r="17" spans="1:15" x14ac:dyDescent="0.25">
      <c r="A17" s="40"/>
      <c r="B17" s="4" t="s">
        <v>15</v>
      </c>
      <c r="C17" s="2" t="str">
        <f t="shared" si="0"/>
        <v>□300×12×448</v>
      </c>
      <c r="D17" s="2">
        <v>1</v>
      </c>
      <c r="E17" s="3">
        <f t="shared" si="1"/>
        <v>12.66048</v>
      </c>
      <c r="F17" s="3">
        <f t="shared" si="2"/>
        <v>12.66048</v>
      </c>
      <c r="G17" s="8">
        <f t="shared" si="3"/>
        <v>25.320959999999999</v>
      </c>
      <c r="H17" s="35"/>
      <c r="J17" s="5">
        <v>300</v>
      </c>
      <c r="K17" s="1">
        <v>12</v>
      </c>
      <c r="L17" s="5">
        <v>448</v>
      </c>
      <c r="N17" s="6">
        <f t="shared" si="4"/>
        <v>0.26879999999999998</v>
      </c>
      <c r="O17" s="1">
        <f t="shared" si="5"/>
        <v>0.53759999999999997</v>
      </c>
    </row>
    <row r="18" spans="1:15" x14ac:dyDescent="0.25">
      <c r="A18" s="40"/>
      <c r="B18" s="4" t="s">
        <v>65</v>
      </c>
      <c r="C18" s="2" t="str">
        <f t="shared" ref="C18:C19" si="22">CONCATENATE("□",J18,"×",K18,"×",L18)</f>
        <v>□400×12×500</v>
      </c>
      <c r="D18" s="2">
        <v>1</v>
      </c>
      <c r="E18" s="3">
        <f t="shared" ref="E18:E19" si="23">IF(M18&gt;0,(M18*K18/1000000000*7850),(J18*K18*L18/1000000000*7850))</f>
        <v>18.84</v>
      </c>
      <c r="F18" s="3">
        <f t="shared" ref="F18:F19" si="24">D18*E18</f>
        <v>18.84</v>
      </c>
      <c r="G18" s="8">
        <f t="shared" si="3"/>
        <v>37.68</v>
      </c>
      <c r="H18" s="35"/>
      <c r="J18" s="5">
        <v>400</v>
      </c>
      <c r="K18" s="1">
        <v>12</v>
      </c>
      <c r="L18" s="5">
        <v>500</v>
      </c>
      <c r="N18" s="6">
        <f t="shared" si="4"/>
        <v>0.4</v>
      </c>
      <c r="O18" s="1">
        <f t="shared" si="5"/>
        <v>0.8</v>
      </c>
    </row>
    <row r="19" spans="1:15" x14ac:dyDescent="0.25">
      <c r="A19" s="40"/>
      <c r="B19" s="4" t="s">
        <v>66</v>
      </c>
      <c r="C19" s="2" t="str">
        <f t="shared" si="22"/>
        <v>□900×24×1058</v>
      </c>
      <c r="D19" s="2">
        <v>2</v>
      </c>
      <c r="E19" s="3">
        <f t="shared" si="23"/>
        <v>103.50425395428</v>
      </c>
      <c r="F19" s="3">
        <f t="shared" si="24"/>
        <v>207.00850790856001</v>
      </c>
      <c r="G19" s="8">
        <f t="shared" si="3"/>
        <v>414.01701581712001</v>
      </c>
      <c r="H19" s="35"/>
      <c r="J19" s="5">
        <v>900</v>
      </c>
      <c r="K19" s="1">
        <v>24</v>
      </c>
      <c r="L19" s="5">
        <v>1058</v>
      </c>
      <c r="M19" s="1">
        <v>549385.63670000003</v>
      </c>
      <c r="N19" s="6">
        <f t="shared" si="4"/>
        <v>1.0987712734000001</v>
      </c>
      <c r="O19" s="1">
        <f t="shared" si="5"/>
        <v>4.3950850936000005</v>
      </c>
    </row>
    <row r="20" spans="1:15" x14ac:dyDescent="0.25">
      <c r="A20" s="39"/>
      <c r="B20" s="4" t="s">
        <v>67</v>
      </c>
      <c r="C20" s="2" t="str">
        <f t="shared" ref="C20" si="25">CONCATENATE("□",J20,"×",K20,"×",L20)</f>
        <v>□200×24×900</v>
      </c>
      <c r="D20" s="2">
        <v>2</v>
      </c>
      <c r="E20" s="3">
        <f t="shared" ref="E20" si="26">IF(M20&gt;0,(M20*K20/1000000000*7850),(J20*K20*L20/1000000000*7850))</f>
        <v>33.911999999999999</v>
      </c>
      <c r="F20" s="3">
        <f t="shared" ref="F20" si="27">D20*E20</f>
        <v>67.823999999999998</v>
      </c>
      <c r="G20" s="8">
        <f t="shared" si="3"/>
        <v>135.648</v>
      </c>
      <c r="H20" s="35"/>
      <c r="J20" s="5">
        <v>200</v>
      </c>
      <c r="K20" s="1">
        <v>24</v>
      </c>
      <c r="L20" s="5">
        <v>900</v>
      </c>
      <c r="N20" s="6">
        <f t="shared" si="4"/>
        <v>0.36</v>
      </c>
      <c r="O20" s="1">
        <f t="shared" si="5"/>
        <v>1.44</v>
      </c>
    </row>
    <row r="21" spans="1:15" x14ac:dyDescent="0.25">
      <c r="A21" s="4" t="s">
        <v>38</v>
      </c>
      <c r="B21" s="4" t="s">
        <v>9</v>
      </c>
      <c r="C21" s="10" t="str">
        <f>CONCATENATE("□",J21,"×",K21,"×",L21,"(总长)")</f>
        <v>□140×12×85432(总长)</v>
      </c>
      <c r="D21" s="2">
        <v>1</v>
      </c>
      <c r="E21" s="11">
        <f>IF(M21&gt;0,(M21*K21/1000000000*7850),(J21*K21*L21/1000000000*7850))</f>
        <v>1126.677216</v>
      </c>
      <c r="F21" s="3">
        <f t="shared" si="2"/>
        <v>1126.677216</v>
      </c>
      <c r="G21" s="8">
        <f t="shared" si="3"/>
        <v>2253.3544320000001</v>
      </c>
      <c r="H21" s="35"/>
      <c r="J21" s="5">
        <v>140</v>
      </c>
      <c r="K21" s="1">
        <v>12</v>
      </c>
      <c r="L21" s="1">
        <f>10679*8</f>
        <v>85432</v>
      </c>
      <c r="N21" s="6">
        <f t="shared" si="4"/>
        <v>23.920960000000001</v>
      </c>
      <c r="O21" s="1">
        <f t="shared" si="5"/>
        <v>47.841920000000002</v>
      </c>
    </row>
    <row r="22" spans="1:15" x14ac:dyDescent="0.25">
      <c r="A22" s="4" t="s">
        <v>69</v>
      </c>
      <c r="B22" s="4" t="s">
        <v>41</v>
      </c>
      <c r="C22" s="2" t="str">
        <f t="shared" ref="C22:C26" si="28">CONCATENATE("□",J22,"×",K22,"×",L22)</f>
        <v>□1000×24×21330</v>
      </c>
      <c r="D22" s="2">
        <v>1</v>
      </c>
      <c r="E22" s="3">
        <f t="shared" ref="E22:E26" si="29">IF(M22&gt;0,(M22*K22/1000000000*7850),(J22*K22*L22/1000000000*7850))</f>
        <v>4018.5720000000001</v>
      </c>
      <c r="F22" s="3">
        <f t="shared" si="2"/>
        <v>4018.5720000000001</v>
      </c>
      <c r="G22" s="8">
        <f t="shared" si="3"/>
        <v>8037.1440000000002</v>
      </c>
      <c r="H22" s="35"/>
      <c r="J22" s="1">
        <v>1000</v>
      </c>
      <c r="K22" s="1">
        <v>24</v>
      </c>
      <c r="L22" s="1">
        <v>21330</v>
      </c>
      <c r="N22" s="6">
        <f t="shared" si="4"/>
        <v>42.66</v>
      </c>
      <c r="O22" s="1">
        <f t="shared" si="5"/>
        <v>85.32</v>
      </c>
    </row>
    <row r="23" spans="1:15" x14ac:dyDescent="0.25">
      <c r="A23" s="4" t="s">
        <v>70</v>
      </c>
      <c r="B23" s="4" t="s">
        <v>42</v>
      </c>
      <c r="C23" s="12" t="str">
        <f t="shared" si="28"/>
        <v>□1000×24×23379</v>
      </c>
      <c r="D23" s="12">
        <v>1</v>
      </c>
      <c r="E23" s="3">
        <f t="shared" si="29"/>
        <v>4404.6036000000004</v>
      </c>
      <c r="F23" s="3">
        <f t="shared" si="2"/>
        <v>4404.6036000000004</v>
      </c>
      <c r="G23" s="8">
        <f t="shared" si="3"/>
        <v>8809.2072000000007</v>
      </c>
      <c r="H23" s="35"/>
      <c r="J23" s="5">
        <v>1000</v>
      </c>
      <c r="K23" s="1">
        <v>24</v>
      </c>
      <c r="L23" s="5">
        <v>23379</v>
      </c>
      <c r="N23" s="6">
        <f t="shared" si="4"/>
        <v>46.758000000000003</v>
      </c>
      <c r="O23" s="1">
        <f t="shared" si="5"/>
        <v>93.516000000000005</v>
      </c>
    </row>
    <row r="24" spans="1:15" x14ac:dyDescent="0.25">
      <c r="A24" s="15" t="s">
        <v>71</v>
      </c>
      <c r="B24" s="4" t="s">
        <v>44</v>
      </c>
      <c r="C24" s="12" t="str">
        <f t="shared" si="28"/>
        <v>□1048×24×23380</v>
      </c>
      <c r="D24" s="12">
        <v>2</v>
      </c>
      <c r="E24" s="3">
        <f t="shared" si="29"/>
        <v>4414.0843573797592</v>
      </c>
      <c r="F24" s="3">
        <f t="shared" si="2"/>
        <v>8828.1687147595185</v>
      </c>
      <c r="G24" s="8">
        <f t="shared" si="3"/>
        <v>17656.337429519037</v>
      </c>
      <c r="H24" s="35"/>
      <c r="J24" s="1">
        <v>1048</v>
      </c>
      <c r="K24" s="1">
        <v>24</v>
      </c>
      <c r="L24" s="5">
        <v>23380</v>
      </c>
      <c r="M24" s="1">
        <v>23429322.4914</v>
      </c>
      <c r="N24" s="6">
        <f t="shared" si="4"/>
        <v>46.858644982800001</v>
      </c>
      <c r="O24" s="1">
        <f t="shared" si="5"/>
        <v>187.43457993120001</v>
      </c>
    </row>
    <row r="25" spans="1:15" x14ac:dyDescent="0.25">
      <c r="A25" s="38" t="s">
        <v>46</v>
      </c>
      <c r="B25" s="4" t="s">
        <v>47</v>
      </c>
      <c r="C25" s="12" t="str">
        <f t="shared" si="28"/>
        <v>□1000×12×1000</v>
      </c>
      <c r="D25" s="12">
        <v>6</v>
      </c>
      <c r="E25" s="3">
        <f t="shared" si="29"/>
        <v>70.812445695720001</v>
      </c>
      <c r="F25" s="3">
        <f t="shared" si="2"/>
        <v>424.87467417432003</v>
      </c>
      <c r="G25" s="8">
        <f t="shared" si="3"/>
        <v>849.74934834864007</v>
      </c>
      <c r="H25" s="35"/>
      <c r="J25" s="1">
        <v>1000</v>
      </c>
      <c r="K25" s="1">
        <v>12</v>
      </c>
      <c r="L25" s="1">
        <v>1000</v>
      </c>
      <c r="M25" s="1">
        <v>751724.47660000005</v>
      </c>
      <c r="N25" s="6">
        <f t="shared" si="4"/>
        <v>1.5034489532000002</v>
      </c>
      <c r="O25" s="1">
        <f t="shared" si="5"/>
        <v>18.041387438400001</v>
      </c>
    </row>
    <row r="26" spans="1:15" x14ac:dyDescent="0.25">
      <c r="A26" s="40"/>
      <c r="B26" s="4" t="s">
        <v>48</v>
      </c>
      <c r="C26" s="12" t="str">
        <f t="shared" si="28"/>
        <v>□1000×24×1000</v>
      </c>
      <c r="D26" s="12">
        <v>2</v>
      </c>
      <c r="E26" s="3">
        <f t="shared" si="29"/>
        <v>141.62489139144</v>
      </c>
      <c r="F26" s="3">
        <f t="shared" si="2"/>
        <v>283.24978278288</v>
      </c>
      <c r="G26" s="8">
        <f t="shared" si="3"/>
        <v>566.49956556576001</v>
      </c>
      <c r="H26" s="35"/>
      <c r="J26" s="1">
        <v>1000</v>
      </c>
      <c r="K26" s="1">
        <v>24</v>
      </c>
      <c r="L26" s="1">
        <v>1000</v>
      </c>
      <c r="M26" s="1">
        <v>751724.47660000005</v>
      </c>
      <c r="N26" s="6">
        <f t="shared" si="4"/>
        <v>1.5034489532000002</v>
      </c>
      <c r="O26" s="1">
        <f t="shared" si="5"/>
        <v>6.0137958128000006</v>
      </c>
    </row>
    <row r="27" spans="1:15" x14ac:dyDescent="0.25">
      <c r="A27" s="39"/>
      <c r="B27" s="4" t="s">
        <v>72</v>
      </c>
      <c r="C27" s="12" t="str">
        <f t="shared" ref="C27" si="30">CONCATENATE("□",J27,"×",K27,"×",L27)</f>
        <v>□110×10×1491</v>
      </c>
      <c r="D27" s="12">
        <v>8</v>
      </c>
      <c r="E27" s="3">
        <f t="shared" ref="E27" si="31">IF(M27&gt;0,(M27*K27/1000000000*7850),(J27*K27*L27/1000000000*7850))</f>
        <v>12.874785000000001</v>
      </c>
      <c r="F27" s="3">
        <f t="shared" ref="F27:F28" si="32">D27*E27</f>
        <v>102.99828000000001</v>
      </c>
      <c r="G27" s="8">
        <f t="shared" si="3"/>
        <v>205.99656000000002</v>
      </c>
      <c r="H27" s="35"/>
      <c r="J27" s="1">
        <v>110</v>
      </c>
      <c r="K27" s="1">
        <v>10</v>
      </c>
      <c r="L27" s="1">
        <v>1491</v>
      </c>
      <c r="N27" s="6">
        <f t="shared" si="4"/>
        <v>0.32801999999999998</v>
      </c>
      <c r="O27" s="1">
        <f t="shared" si="5"/>
        <v>5.2483199999999997</v>
      </c>
    </row>
    <row r="28" spans="1:15" ht="27.6" x14ac:dyDescent="0.25">
      <c r="A28" s="4" t="s">
        <v>38</v>
      </c>
      <c r="B28" s="4" t="s">
        <v>73</v>
      </c>
      <c r="C28" s="10" t="str">
        <f>CONCATENATE("□",J28,"×",K28,"×",L28,"(总长)")</f>
        <v>□140×12×177854(总长)</v>
      </c>
      <c r="D28" s="2">
        <v>1</v>
      </c>
      <c r="E28" s="11">
        <f>IF(M28&gt;0,(M28*K28/1000000000*7850),(J28*K28*L28/1000000000*7850))</f>
        <v>2345.538552</v>
      </c>
      <c r="F28" s="3">
        <f t="shared" si="32"/>
        <v>2345.538552</v>
      </c>
      <c r="G28" s="8">
        <f t="shared" si="3"/>
        <v>4691.077104</v>
      </c>
      <c r="H28" s="36"/>
      <c r="J28" s="5">
        <v>140</v>
      </c>
      <c r="K28" s="1">
        <v>12</v>
      </c>
      <c r="L28" s="1">
        <f>(44218+23379+21330)*2</f>
        <v>177854</v>
      </c>
      <c r="N28" s="6">
        <f t="shared" si="4"/>
        <v>49.799120000000002</v>
      </c>
      <c r="O28" s="1">
        <f t="shared" si="5"/>
        <v>99.598240000000004</v>
      </c>
    </row>
    <row r="29" spans="1:15" x14ac:dyDescent="0.25">
      <c r="A29" s="4" t="s">
        <v>78</v>
      </c>
      <c r="B29" s="4" t="s">
        <v>20</v>
      </c>
      <c r="C29" s="12" t="str">
        <f t="shared" ref="C29" si="33">CONCATENATE("□",J29,"×",K29,"×",L29)</f>
        <v>□931×110×1000</v>
      </c>
      <c r="D29" s="12">
        <v>1</v>
      </c>
      <c r="E29" s="3">
        <f t="shared" ref="E29" si="34">IF(M29&gt;0,(M29*K29/1000000000*7850),(J29*K29*L29/1000000000*7850))</f>
        <v>803.91849999999999</v>
      </c>
      <c r="F29" s="3">
        <f t="shared" ref="F29" si="35">D29*E29</f>
        <v>803.91849999999999</v>
      </c>
      <c r="G29" s="8">
        <f t="shared" ref="G29" si="36">F29*2</f>
        <v>1607.837</v>
      </c>
      <c r="H29" s="17" t="s">
        <v>106</v>
      </c>
      <c r="J29" s="5">
        <v>931</v>
      </c>
      <c r="K29" s="1">
        <v>110</v>
      </c>
      <c r="L29" s="1">
        <v>1000</v>
      </c>
      <c r="N29" s="6">
        <f t="shared" si="4"/>
        <v>1.8620000000000001</v>
      </c>
      <c r="O29" s="1">
        <f t="shared" si="5"/>
        <v>3.7240000000000002</v>
      </c>
    </row>
    <row r="30" spans="1:15" x14ac:dyDescent="0.25">
      <c r="A30" s="4"/>
      <c r="B30" s="37" t="s">
        <v>16</v>
      </c>
      <c r="C30" s="37"/>
      <c r="D30" s="37"/>
      <c r="E30" s="37"/>
      <c r="F30" s="7">
        <f>SUM(F4:F29)</f>
        <v>33399.457966109141</v>
      </c>
      <c r="G30" s="8">
        <f t="shared" si="3"/>
        <v>66798.915932218282</v>
      </c>
      <c r="H30" s="8"/>
    </row>
    <row r="31" spans="1:15" x14ac:dyDescent="0.25">
      <c r="A31" s="4"/>
      <c r="B31" s="37" t="s">
        <v>19</v>
      </c>
      <c r="C31" s="37"/>
      <c r="D31" s="37"/>
      <c r="E31" s="37"/>
      <c r="F31" s="8">
        <f>F30*0.015</f>
        <v>500.99186949163709</v>
      </c>
      <c r="G31" s="8">
        <f t="shared" si="3"/>
        <v>1001.9837389832742</v>
      </c>
      <c r="H31" s="8"/>
    </row>
    <row r="32" spans="1:15" x14ac:dyDescent="0.25">
      <c r="A32" s="4"/>
      <c r="B32" s="37" t="s">
        <v>17</v>
      </c>
      <c r="C32" s="37"/>
      <c r="D32" s="37"/>
      <c r="E32" s="37"/>
      <c r="F32" s="7">
        <f>F30+F31</f>
        <v>33900.449835600775</v>
      </c>
      <c r="G32" s="8">
        <f t="shared" si="3"/>
        <v>67800.899671201551</v>
      </c>
      <c r="H32" s="8"/>
    </row>
    <row r="33" spans="1:10" x14ac:dyDescent="0.25">
      <c r="A33" s="37" t="s">
        <v>248</v>
      </c>
      <c r="B33" s="37"/>
      <c r="C33" s="37"/>
      <c r="D33" s="37"/>
      <c r="E33" s="37"/>
      <c r="F33" s="4">
        <f>4</f>
        <v>4</v>
      </c>
      <c r="G33" s="13">
        <f t="shared" si="3"/>
        <v>8</v>
      </c>
      <c r="H33" s="4"/>
    </row>
    <row r="34" spans="1:10" x14ac:dyDescent="0.25">
      <c r="J34" s="5"/>
    </row>
    <row r="35" spans="1:10" x14ac:dyDescent="0.25">
      <c r="J35" s="5"/>
    </row>
    <row r="41" spans="1:10" x14ac:dyDescent="0.25">
      <c r="A41" s="33" t="s">
        <v>108</v>
      </c>
      <c r="B41" s="1">
        <v>10</v>
      </c>
      <c r="C41" s="5">
        <f>SUMIF($K$4:$K$29,B41,$G$4:$G$29)</f>
        <v>384.11934000000002</v>
      </c>
    </row>
    <row r="42" spans="1:10" x14ac:dyDescent="0.25">
      <c r="A42" s="33"/>
      <c r="B42" s="1">
        <v>12</v>
      </c>
      <c r="C42" s="5">
        <f t="shared" ref="C42:C43" si="37">SUMIF($K$4:$K$29,B42,$G$4:$G$29)</f>
        <v>8391.4052171614803</v>
      </c>
    </row>
    <row r="43" spans="1:10" x14ac:dyDescent="0.25">
      <c r="A43" s="33"/>
      <c r="B43" s="1">
        <v>24</v>
      </c>
      <c r="C43" s="5">
        <f t="shared" si="37"/>
        <v>56336.962748349601</v>
      </c>
    </row>
    <row r="44" spans="1:10" x14ac:dyDescent="0.25">
      <c r="A44" s="33"/>
      <c r="B44" s="1" t="s">
        <v>101</v>
      </c>
      <c r="C44" s="5">
        <f>SUM(C41:C43)</f>
        <v>65112.48730551108</v>
      </c>
    </row>
    <row r="45" spans="1:10" x14ac:dyDescent="0.25">
      <c r="A45" s="1" t="s">
        <v>104</v>
      </c>
      <c r="B45" s="1" t="s">
        <v>106</v>
      </c>
      <c r="C45" s="5">
        <f>G29</f>
        <v>1607.837</v>
      </c>
      <c r="D45" s="5">
        <f>SUM(C41:C45)</f>
        <v>131832.81161102216</v>
      </c>
    </row>
    <row r="46" spans="1:10" x14ac:dyDescent="0.25">
      <c r="A46" s="33" t="s">
        <v>18</v>
      </c>
      <c r="B46" s="1" t="s">
        <v>102</v>
      </c>
      <c r="C46" s="25">
        <f>SUM(O4:O5)/2+SUM(O22:O23)/2+O29</f>
        <v>143.97767199999998</v>
      </c>
    </row>
    <row r="47" spans="1:10" x14ac:dyDescent="0.25">
      <c r="A47" s="33"/>
      <c r="B47" s="1" t="s">
        <v>103</v>
      </c>
      <c r="C47" s="5">
        <f>SUM(O4:O5)/2+SUM(O22:O23)/2+SUM(O6:O21)+SUM(O24:O28)</f>
        <v>647.18266599080005</v>
      </c>
    </row>
  </sheetData>
  <mergeCells count="11">
    <mergeCell ref="N3:O3"/>
    <mergeCell ref="A41:A44"/>
    <mergeCell ref="A46:A47"/>
    <mergeCell ref="H4:H28"/>
    <mergeCell ref="A6:A7"/>
    <mergeCell ref="B30:E30"/>
    <mergeCell ref="B31:E31"/>
    <mergeCell ref="B32:E32"/>
    <mergeCell ref="A8:A20"/>
    <mergeCell ref="A25:A27"/>
    <mergeCell ref="A33:E33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257D-61FD-42F4-B0A7-57D8CE3724AF}">
  <dimension ref="A3:O45"/>
  <sheetViews>
    <sheetView workbookViewId="0">
      <selection activeCell="A34" sqref="A34:G34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8" width="10.33203125" style="1" customWidth="1"/>
    <col min="9" max="16384" width="9" style="1"/>
  </cols>
  <sheetData>
    <row r="3" spans="1:15" ht="13.5" customHeight="1" x14ac:dyDescent="0.25">
      <c r="A3" s="4" t="s">
        <v>22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74</v>
      </c>
      <c r="H3" s="4" t="s">
        <v>63</v>
      </c>
      <c r="J3" s="1" t="s">
        <v>7</v>
      </c>
      <c r="K3" s="1" t="s">
        <v>6</v>
      </c>
      <c r="L3" s="1" t="s">
        <v>5</v>
      </c>
      <c r="M3" s="1" t="s">
        <v>8</v>
      </c>
      <c r="N3" s="33" t="s">
        <v>18</v>
      </c>
      <c r="O3" s="33"/>
    </row>
    <row r="4" spans="1:15" x14ac:dyDescent="0.25">
      <c r="A4" s="4" t="s">
        <v>34</v>
      </c>
      <c r="B4" s="2" t="s">
        <v>21</v>
      </c>
      <c r="C4" s="2" t="str">
        <f t="shared" ref="C4:C20" si="0">CONCATENATE("□",J4,"×",K4,"×",L4)</f>
        <v>□1508×24×12945</v>
      </c>
      <c r="D4" s="2">
        <v>1</v>
      </c>
      <c r="E4" s="3">
        <f t="shared" ref="E4:E20" si="1">IF(M4&gt;0,(M4*K4/1000000000*7850),(J4*K4*L4/1000000000*7850))</f>
        <v>3677.7677039999999</v>
      </c>
      <c r="F4" s="3">
        <f t="shared" ref="F4:F29" si="2">D4*E4</f>
        <v>3677.7677039999999</v>
      </c>
      <c r="G4" s="8">
        <f>F4*2</f>
        <v>7355.5354079999997</v>
      </c>
      <c r="H4" s="34" t="s">
        <v>108</v>
      </c>
      <c r="J4" s="5">
        <v>1508</v>
      </c>
      <c r="K4" s="1">
        <v>24</v>
      </c>
      <c r="L4" s="1">
        <f>12957-12</f>
        <v>12945</v>
      </c>
      <c r="N4" s="6">
        <f>IF(M4&gt;0,(M4*2/1000000),(J4*L4*2/1000000))</f>
        <v>39.042119999999997</v>
      </c>
      <c r="O4" s="1">
        <f>N4*D4*2</f>
        <v>78.084239999999994</v>
      </c>
    </row>
    <row r="5" spans="1:15" x14ac:dyDescent="0.25">
      <c r="A5" s="4" t="s">
        <v>35</v>
      </c>
      <c r="B5" s="2" t="s">
        <v>25</v>
      </c>
      <c r="C5" s="2" t="str">
        <f t="shared" si="0"/>
        <v>□1000×24×11570</v>
      </c>
      <c r="D5" s="2">
        <v>1</v>
      </c>
      <c r="E5" s="3">
        <f t="shared" si="1"/>
        <v>2179.788</v>
      </c>
      <c r="F5" s="3">
        <f t="shared" si="2"/>
        <v>2179.788</v>
      </c>
      <c r="G5" s="8">
        <f t="shared" ref="G5:G34" si="3">F5*2</f>
        <v>4359.576</v>
      </c>
      <c r="H5" s="35"/>
      <c r="J5" s="5">
        <v>1000</v>
      </c>
      <c r="K5" s="1">
        <v>24</v>
      </c>
      <c r="L5" s="1">
        <v>11570</v>
      </c>
      <c r="N5" s="6">
        <f t="shared" ref="N5:N29" si="4">IF(M5&gt;0,(M5*2/1000000),(J5*L5*2/1000000))</f>
        <v>23.14</v>
      </c>
      <c r="O5" s="1">
        <f t="shared" ref="O5:O29" si="5">N5*D5*2</f>
        <v>46.28</v>
      </c>
    </row>
    <row r="6" spans="1:15" x14ac:dyDescent="0.25">
      <c r="A6" s="38" t="s">
        <v>36</v>
      </c>
      <c r="B6" s="4" t="s">
        <v>26</v>
      </c>
      <c r="C6" s="2" t="str">
        <f t="shared" si="0"/>
        <v>□1080×24×12945</v>
      </c>
      <c r="D6" s="2">
        <v>2</v>
      </c>
      <c r="E6" s="3">
        <f t="shared" si="1"/>
        <v>2633.9450400000001</v>
      </c>
      <c r="F6" s="3">
        <f t="shared" si="2"/>
        <v>5267.8900800000001</v>
      </c>
      <c r="G6" s="8">
        <f t="shared" si="3"/>
        <v>10535.78016</v>
      </c>
      <c r="H6" s="35"/>
      <c r="J6" s="5">
        <v>1080</v>
      </c>
      <c r="K6" s="1">
        <v>24</v>
      </c>
      <c r="L6" s="1">
        <f>L4</f>
        <v>12945</v>
      </c>
      <c r="N6" s="6">
        <f t="shared" si="4"/>
        <v>27.961200000000002</v>
      </c>
      <c r="O6" s="1">
        <f t="shared" si="5"/>
        <v>111.84480000000001</v>
      </c>
    </row>
    <row r="7" spans="1:15" x14ac:dyDescent="0.25">
      <c r="A7" s="40"/>
      <c r="B7" s="4" t="s">
        <v>33</v>
      </c>
      <c r="C7" s="2" t="str">
        <f t="shared" si="0"/>
        <v>□1333×24×1333</v>
      </c>
      <c r="D7" s="2">
        <v>2</v>
      </c>
      <c r="E7" s="3">
        <f t="shared" si="1"/>
        <v>52.525066962480004</v>
      </c>
      <c r="F7" s="3">
        <f t="shared" si="2"/>
        <v>105.05013392496001</v>
      </c>
      <c r="G7" s="8">
        <f t="shared" si="3"/>
        <v>210.10026784992002</v>
      </c>
      <c r="H7" s="35"/>
      <c r="J7" s="5">
        <v>1333</v>
      </c>
      <c r="K7" s="1">
        <v>24</v>
      </c>
      <c r="L7" s="1">
        <v>1333</v>
      </c>
      <c r="M7" s="1">
        <v>278795.47220000002</v>
      </c>
      <c r="N7" s="6">
        <f t="shared" si="4"/>
        <v>0.55759094440000001</v>
      </c>
      <c r="O7" s="1">
        <f t="shared" si="5"/>
        <v>2.2303637776</v>
      </c>
    </row>
    <row r="8" spans="1:15" x14ac:dyDescent="0.25">
      <c r="A8" s="38" t="s">
        <v>37</v>
      </c>
      <c r="B8" s="4" t="s">
        <v>11</v>
      </c>
      <c r="C8" s="2" t="str">
        <f t="shared" si="0"/>
        <v>□1000×12×1500</v>
      </c>
      <c r="D8" s="2">
        <v>4</v>
      </c>
      <c r="E8" s="3">
        <f t="shared" si="1"/>
        <v>89.037228802139992</v>
      </c>
      <c r="F8" s="3">
        <f t="shared" si="2"/>
        <v>356.14891520855997</v>
      </c>
      <c r="G8" s="8">
        <f t="shared" si="3"/>
        <v>712.29783041711994</v>
      </c>
      <c r="H8" s="35"/>
      <c r="J8" s="5">
        <v>1000</v>
      </c>
      <c r="K8" s="1">
        <v>12</v>
      </c>
      <c r="L8" s="1">
        <v>1500</v>
      </c>
      <c r="M8" s="1">
        <v>945193.51170000003</v>
      </c>
      <c r="N8" s="6">
        <f t="shared" si="4"/>
        <v>1.8903870234</v>
      </c>
      <c r="O8" s="1">
        <f t="shared" si="5"/>
        <v>15.1230961872</v>
      </c>
    </row>
    <row r="9" spans="1:15" x14ac:dyDescent="0.25">
      <c r="A9" s="40"/>
      <c r="B9" s="4" t="s">
        <v>12</v>
      </c>
      <c r="C9" s="2" t="str">
        <f t="shared" si="0"/>
        <v>□1000×24×1500</v>
      </c>
      <c r="D9" s="2">
        <v>2</v>
      </c>
      <c r="E9" s="3">
        <f t="shared" si="1"/>
        <v>178.07445760427998</v>
      </c>
      <c r="F9" s="3">
        <f t="shared" si="2"/>
        <v>356.14891520855997</v>
      </c>
      <c r="G9" s="8">
        <f t="shared" si="3"/>
        <v>712.29783041711994</v>
      </c>
      <c r="H9" s="35"/>
      <c r="J9" s="5">
        <v>1000</v>
      </c>
      <c r="K9" s="1">
        <v>24</v>
      </c>
      <c r="L9" s="1">
        <v>1500</v>
      </c>
      <c r="M9" s="1">
        <v>945193.51170000003</v>
      </c>
      <c r="N9" s="6">
        <f t="shared" si="4"/>
        <v>1.8903870234</v>
      </c>
      <c r="O9" s="1">
        <f t="shared" si="5"/>
        <v>7.5615480935999999</v>
      </c>
    </row>
    <row r="10" spans="1:15" x14ac:dyDescent="0.25">
      <c r="A10" s="40"/>
      <c r="B10" s="4" t="s">
        <v>13</v>
      </c>
      <c r="C10" s="2" t="str">
        <f t="shared" si="0"/>
        <v>□1500×24×1695</v>
      </c>
      <c r="D10" s="2">
        <v>1</v>
      </c>
      <c r="E10" s="3">
        <f t="shared" si="1"/>
        <v>313.57427022780001</v>
      </c>
      <c r="F10" s="3">
        <f t="shared" si="2"/>
        <v>313.57427022780001</v>
      </c>
      <c r="G10" s="8">
        <f t="shared" si="3"/>
        <v>627.14854045560003</v>
      </c>
      <c r="H10" s="35"/>
      <c r="J10" s="5">
        <v>1500</v>
      </c>
      <c r="K10" s="1">
        <v>24</v>
      </c>
      <c r="L10" s="1">
        <v>1695</v>
      </c>
      <c r="M10" s="1">
        <v>1664406.9545</v>
      </c>
      <c r="N10" s="6">
        <f t="shared" si="4"/>
        <v>3.328813909</v>
      </c>
      <c r="O10" s="1">
        <f t="shared" si="5"/>
        <v>6.6576278179999999</v>
      </c>
    </row>
    <row r="11" spans="1:15" x14ac:dyDescent="0.25">
      <c r="A11" s="40"/>
      <c r="B11" s="4" t="s">
        <v>64</v>
      </c>
      <c r="C11" s="2" t="str">
        <f t="shared" si="0"/>
        <v>□1500×24×1402</v>
      </c>
      <c r="D11" s="2">
        <v>1</v>
      </c>
      <c r="E11" s="3">
        <f t="shared" si="1"/>
        <v>220.0180327452</v>
      </c>
      <c r="F11" s="3">
        <f t="shared" si="2"/>
        <v>220.0180327452</v>
      </c>
      <c r="G11" s="8">
        <f t="shared" si="3"/>
        <v>440.03606549040001</v>
      </c>
      <c r="H11" s="35"/>
      <c r="J11" s="5">
        <v>1500</v>
      </c>
      <c r="K11" s="1">
        <v>24</v>
      </c>
      <c r="L11" s="1">
        <v>1402</v>
      </c>
      <c r="M11" s="1">
        <v>1167823.953</v>
      </c>
      <c r="N11" s="6">
        <f t="shared" si="4"/>
        <v>2.3356479060000002</v>
      </c>
      <c r="O11" s="1">
        <f t="shared" si="5"/>
        <v>4.6712958120000003</v>
      </c>
    </row>
    <row r="12" spans="1:15" x14ac:dyDescent="0.25">
      <c r="A12" s="40"/>
      <c r="B12" s="4" t="s">
        <v>75</v>
      </c>
      <c r="C12" s="2" t="str">
        <f t="shared" si="0"/>
        <v>□400×24×488</v>
      </c>
      <c r="D12" s="2">
        <v>1</v>
      </c>
      <c r="E12" s="3">
        <f t="shared" si="1"/>
        <v>36.775680000000001</v>
      </c>
      <c r="F12" s="3">
        <f t="shared" si="2"/>
        <v>36.775680000000001</v>
      </c>
      <c r="G12" s="8">
        <f t="shared" si="3"/>
        <v>73.551360000000003</v>
      </c>
      <c r="H12" s="35"/>
      <c r="J12" s="5">
        <v>400</v>
      </c>
      <c r="K12" s="1">
        <v>24</v>
      </c>
      <c r="L12" s="1">
        <v>488</v>
      </c>
      <c r="N12" s="6">
        <f t="shared" si="4"/>
        <v>0.39040000000000002</v>
      </c>
      <c r="O12" s="1">
        <f t="shared" si="5"/>
        <v>0.78080000000000005</v>
      </c>
    </row>
    <row r="13" spans="1:15" x14ac:dyDescent="0.25">
      <c r="A13" s="40"/>
      <c r="B13" s="4" t="s">
        <v>68</v>
      </c>
      <c r="C13" s="2" t="str">
        <f t="shared" si="0"/>
        <v>□1056×24×1561</v>
      </c>
      <c r="D13" s="2">
        <v>1</v>
      </c>
      <c r="E13" s="3">
        <f t="shared" si="1"/>
        <v>258.24781887456004</v>
      </c>
      <c r="F13" s="3">
        <f t="shared" si="2"/>
        <v>258.24781887456004</v>
      </c>
      <c r="G13" s="8">
        <f t="shared" si="3"/>
        <v>516.49563774912008</v>
      </c>
      <c r="H13" s="35"/>
      <c r="J13" s="5">
        <v>1056</v>
      </c>
      <c r="K13" s="1">
        <v>24</v>
      </c>
      <c r="L13" s="1">
        <v>1561</v>
      </c>
      <c r="M13" s="1">
        <v>1370742.1384000001</v>
      </c>
      <c r="N13" s="6">
        <f t="shared" si="4"/>
        <v>2.7414842768000001</v>
      </c>
      <c r="O13" s="1">
        <f t="shared" si="5"/>
        <v>5.4829685536000001</v>
      </c>
    </row>
    <row r="14" spans="1:15" x14ac:dyDescent="0.25">
      <c r="A14" s="40"/>
      <c r="B14" s="4" t="s">
        <v>246</v>
      </c>
      <c r="C14" s="2" t="str">
        <f t="shared" si="0"/>
        <v>□584×16×584</v>
      </c>
      <c r="D14" s="2">
        <f>D13</f>
        <v>1</v>
      </c>
      <c r="E14" s="3">
        <f t="shared" si="1"/>
        <v>33.643813353600002</v>
      </c>
      <c r="F14" s="3">
        <f t="shared" si="2"/>
        <v>33.643813353600002</v>
      </c>
      <c r="G14" s="8">
        <f t="shared" si="3"/>
        <v>67.287626707200005</v>
      </c>
      <c r="H14" s="35"/>
      <c r="J14" s="5">
        <v>584</v>
      </c>
      <c r="K14" s="1">
        <v>16</v>
      </c>
      <c r="L14" s="1">
        <v>584</v>
      </c>
      <c r="M14" s="1">
        <v>267864.75599999999</v>
      </c>
      <c r="N14" s="6">
        <f t="shared" si="4"/>
        <v>0.53572951199999996</v>
      </c>
      <c r="O14" s="1">
        <f t="shared" si="5"/>
        <v>1.0714590239999999</v>
      </c>
    </row>
    <row r="15" spans="1:15" x14ac:dyDescent="0.25">
      <c r="A15" s="40"/>
      <c r="B15" s="4" t="s">
        <v>247</v>
      </c>
      <c r="C15" s="2" t="str">
        <f t="shared" si="0"/>
        <v>□150×8×150</v>
      </c>
      <c r="D15" s="2">
        <f>D13*4</f>
        <v>4</v>
      </c>
      <c r="E15" s="3">
        <f t="shared" si="1"/>
        <v>1.413</v>
      </c>
      <c r="F15" s="3">
        <f t="shared" si="2"/>
        <v>5.6520000000000001</v>
      </c>
      <c r="G15" s="8">
        <f t="shared" si="3"/>
        <v>11.304</v>
      </c>
      <c r="H15" s="35"/>
      <c r="J15" s="5">
        <v>150</v>
      </c>
      <c r="K15" s="1">
        <v>8</v>
      </c>
      <c r="L15" s="1">
        <v>150</v>
      </c>
      <c r="N15" s="6">
        <f t="shared" si="4"/>
        <v>4.4999999999999998E-2</v>
      </c>
      <c r="O15" s="1">
        <f t="shared" si="5"/>
        <v>0.36</v>
      </c>
    </row>
    <row r="16" spans="1:15" x14ac:dyDescent="0.25">
      <c r="A16" s="40"/>
      <c r="B16" s="4" t="s">
        <v>14</v>
      </c>
      <c r="C16" s="2" t="str">
        <f t="shared" si="0"/>
        <v>□110×10×1719</v>
      </c>
      <c r="D16" s="2">
        <f>SUM(D8:D10)</f>
        <v>7</v>
      </c>
      <c r="E16" s="3">
        <f t="shared" si="1"/>
        <v>14.843565</v>
      </c>
      <c r="F16" s="3">
        <f t="shared" si="2"/>
        <v>103.904955</v>
      </c>
      <c r="G16" s="8">
        <f t="shared" si="3"/>
        <v>207.80991</v>
      </c>
      <c r="H16" s="35"/>
      <c r="J16" s="5">
        <v>110</v>
      </c>
      <c r="K16" s="1">
        <v>10</v>
      </c>
      <c r="L16" s="5">
        <v>1719</v>
      </c>
      <c r="N16" s="6">
        <f t="shared" si="4"/>
        <v>0.37818000000000002</v>
      </c>
      <c r="O16" s="1">
        <f t="shared" si="5"/>
        <v>5.2945200000000003</v>
      </c>
    </row>
    <row r="17" spans="1:15" x14ac:dyDescent="0.25">
      <c r="A17" s="40"/>
      <c r="B17" s="4" t="s">
        <v>15</v>
      </c>
      <c r="C17" s="2" t="str">
        <f t="shared" si="0"/>
        <v>□300×12×448</v>
      </c>
      <c r="D17" s="2">
        <v>1</v>
      </c>
      <c r="E17" s="3">
        <f t="shared" si="1"/>
        <v>12.66048</v>
      </c>
      <c r="F17" s="3">
        <f t="shared" si="2"/>
        <v>12.66048</v>
      </c>
      <c r="G17" s="8">
        <f t="shared" si="3"/>
        <v>25.320959999999999</v>
      </c>
      <c r="H17" s="35"/>
      <c r="J17" s="5">
        <v>300</v>
      </c>
      <c r="K17" s="1">
        <v>12</v>
      </c>
      <c r="L17" s="5">
        <v>448</v>
      </c>
      <c r="N17" s="6">
        <f t="shared" si="4"/>
        <v>0.26879999999999998</v>
      </c>
      <c r="O17" s="1">
        <f t="shared" si="5"/>
        <v>0.53759999999999997</v>
      </c>
    </row>
    <row r="18" spans="1:15" x14ac:dyDescent="0.25">
      <c r="A18" s="40"/>
      <c r="B18" s="4" t="s">
        <v>65</v>
      </c>
      <c r="C18" s="2" t="str">
        <f t="shared" si="0"/>
        <v>□400×12×500</v>
      </c>
      <c r="D18" s="2">
        <v>1</v>
      </c>
      <c r="E18" s="3">
        <f t="shared" si="1"/>
        <v>18.84</v>
      </c>
      <c r="F18" s="3">
        <f t="shared" si="2"/>
        <v>18.84</v>
      </c>
      <c r="G18" s="8">
        <f t="shared" si="3"/>
        <v>37.68</v>
      </c>
      <c r="H18" s="35"/>
      <c r="J18" s="5">
        <v>400</v>
      </c>
      <c r="K18" s="1">
        <v>12</v>
      </c>
      <c r="L18" s="5">
        <v>500</v>
      </c>
      <c r="N18" s="6">
        <f t="shared" si="4"/>
        <v>0.4</v>
      </c>
      <c r="O18" s="1">
        <f t="shared" si="5"/>
        <v>0.8</v>
      </c>
    </row>
    <row r="19" spans="1:15" x14ac:dyDescent="0.25">
      <c r="A19" s="40"/>
      <c r="B19" s="4" t="s">
        <v>66</v>
      </c>
      <c r="C19" s="2" t="str">
        <f t="shared" si="0"/>
        <v>□900×24×1058</v>
      </c>
      <c r="D19" s="2">
        <v>2</v>
      </c>
      <c r="E19" s="3">
        <f t="shared" si="1"/>
        <v>103.50425395428</v>
      </c>
      <c r="F19" s="3">
        <f t="shared" si="2"/>
        <v>207.00850790856001</v>
      </c>
      <c r="G19" s="8">
        <f t="shared" si="3"/>
        <v>414.01701581712001</v>
      </c>
      <c r="H19" s="35"/>
      <c r="J19" s="5">
        <v>900</v>
      </c>
      <c r="K19" s="1">
        <v>24</v>
      </c>
      <c r="L19" s="5">
        <v>1058</v>
      </c>
      <c r="M19" s="1">
        <v>549385.63670000003</v>
      </c>
      <c r="N19" s="6">
        <f t="shared" si="4"/>
        <v>1.0987712734000001</v>
      </c>
      <c r="O19" s="1">
        <f t="shared" si="5"/>
        <v>4.3950850936000005</v>
      </c>
    </row>
    <row r="20" spans="1:15" x14ac:dyDescent="0.25">
      <c r="A20" s="39"/>
      <c r="B20" s="4" t="s">
        <v>67</v>
      </c>
      <c r="C20" s="2" t="str">
        <f t="shared" si="0"/>
        <v>□200×24×900</v>
      </c>
      <c r="D20" s="2">
        <v>2</v>
      </c>
      <c r="E20" s="3">
        <f t="shared" si="1"/>
        <v>33.911999999999999</v>
      </c>
      <c r="F20" s="3">
        <f t="shared" si="2"/>
        <v>67.823999999999998</v>
      </c>
      <c r="G20" s="8">
        <f t="shared" si="3"/>
        <v>135.648</v>
      </c>
      <c r="H20" s="35"/>
      <c r="J20" s="5">
        <v>200</v>
      </c>
      <c r="K20" s="1">
        <v>24</v>
      </c>
      <c r="L20" s="5">
        <v>900</v>
      </c>
      <c r="N20" s="6">
        <f t="shared" si="4"/>
        <v>0.36</v>
      </c>
      <c r="O20" s="1">
        <f t="shared" si="5"/>
        <v>1.44</v>
      </c>
    </row>
    <row r="21" spans="1:15" ht="27.6" x14ac:dyDescent="0.25">
      <c r="A21" s="4" t="s">
        <v>38</v>
      </c>
      <c r="B21" s="4" t="s">
        <v>9</v>
      </c>
      <c r="C21" s="10" t="str">
        <f>CONCATENATE("□",J21,"×",K21,"×",L21,"(总长)")</f>
        <v>□140×12×103656(总长)</v>
      </c>
      <c r="D21" s="2">
        <v>1</v>
      </c>
      <c r="E21" s="11">
        <f>IF(M21&gt;0,(M21*K21/1000000000*7850),(J21*K21*L21/1000000000*7850))</f>
        <v>1367.015328</v>
      </c>
      <c r="F21" s="3">
        <f t="shared" si="2"/>
        <v>1367.015328</v>
      </c>
      <c r="G21" s="8">
        <f t="shared" si="3"/>
        <v>2734.0306559999999</v>
      </c>
      <c r="H21" s="35"/>
      <c r="J21" s="5">
        <v>140</v>
      </c>
      <c r="K21" s="1">
        <v>12</v>
      </c>
      <c r="L21" s="1">
        <f>12957*8</f>
        <v>103656</v>
      </c>
      <c r="N21" s="6">
        <f t="shared" si="4"/>
        <v>29.023679999999999</v>
      </c>
      <c r="O21" s="1">
        <f t="shared" si="5"/>
        <v>58.047359999999998</v>
      </c>
    </row>
    <row r="22" spans="1:15" x14ac:dyDescent="0.25">
      <c r="A22" s="4" t="s">
        <v>69</v>
      </c>
      <c r="B22" s="4" t="s">
        <v>41</v>
      </c>
      <c r="C22" s="2" t="str">
        <f t="shared" ref="C22:C27" si="6">CONCATENATE("□",J22,"×",K22,"×",L22)</f>
        <v>□1000×24×22352</v>
      </c>
      <c r="D22" s="2">
        <v>1</v>
      </c>
      <c r="E22" s="3">
        <f t="shared" ref="E22:E27" si="7">IF(M22&gt;0,(M22*K22/1000000000*7850),(J22*K22*L22/1000000000*7850))</f>
        <v>4211.1168000000007</v>
      </c>
      <c r="F22" s="3">
        <f t="shared" si="2"/>
        <v>4211.1168000000007</v>
      </c>
      <c r="G22" s="8">
        <f t="shared" si="3"/>
        <v>8422.2336000000014</v>
      </c>
      <c r="H22" s="35"/>
      <c r="J22" s="1">
        <v>1000</v>
      </c>
      <c r="K22" s="1">
        <v>24</v>
      </c>
      <c r="L22" s="1">
        <v>22352</v>
      </c>
      <c r="N22" s="6">
        <f t="shared" si="4"/>
        <v>44.704000000000001</v>
      </c>
      <c r="O22" s="1">
        <f t="shared" si="5"/>
        <v>89.408000000000001</v>
      </c>
    </row>
    <row r="23" spans="1:15" x14ac:dyDescent="0.25">
      <c r="A23" s="4" t="s">
        <v>70</v>
      </c>
      <c r="B23" s="4" t="s">
        <v>42</v>
      </c>
      <c r="C23" s="12" t="str">
        <f t="shared" si="6"/>
        <v>□1000×24×24405</v>
      </c>
      <c r="D23" s="12">
        <v>1</v>
      </c>
      <c r="E23" s="3">
        <f t="shared" si="7"/>
        <v>4597.902</v>
      </c>
      <c r="F23" s="3">
        <f t="shared" si="2"/>
        <v>4597.902</v>
      </c>
      <c r="G23" s="8">
        <f t="shared" si="3"/>
        <v>9195.8040000000001</v>
      </c>
      <c r="H23" s="35"/>
      <c r="J23" s="5">
        <v>1000</v>
      </c>
      <c r="K23" s="1">
        <v>24</v>
      </c>
      <c r="L23" s="5">
        <v>24405</v>
      </c>
      <c r="N23" s="6">
        <f t="shared" si="4"/>
        <v>48.81</v>
      </c>
      <c r="O23" s="1">
        <f t="shared" si="5"/>
        <v>97.62</v>
      </c>
    </row>
    <row r="24" spans="1:15" x14ac:dyDescent="0.25">
      <c r="A24" s="15" t="s">
        <v>71</v>
      </c>
      <c r="B24" s="4" t="s">
        <v>44</v>
      </c>
      <c r="C24" s="12" t="str">
        <f t="shared" si="6"/>
        <v>□1048×24×24405</v>
      </c>
      <c r="D24" s="12">
        <v>2</v>
      </c>
      <c r="E24" s="3">
        <f t="shared" si="7"/>
        <v>4404.491713365961</v>
      </c>
      <c r="F24" s="3">
        <f t="shared" si="2"/>
        <v>8808.983426731922</v>
      </c>
      <c r="G24" s="8">
        <f t="shared" si="3"/>
        <v>17617.966853463844</v>
      </c>
      <c r="H24" s="35"/>
      <c r="J24" s="1">
        <v>1048</v>
      </c>
      <c r="K24" s="1">
        <v>24</v>
      </c>
      <c r="L24" s="5">
        <v>24405</v>
      </c>
      <c r="M24" s="1">
        <v>23378406.1219</v>
      </c>
      <c r="N24" s="6">
        <f t="shared" si="4"/>
        <v>46.756812243799999</v>
      </c>
      <c r="O24" s="1">
        <f t="shared" si="5"/>
        <v>187.0272489752</v>
      </c>
    </row>
    <row r="25" spans="1:15" x14ac:dyDescent="0.25">
      <c r="A25" s="38" t="s">
        <v>76</v>
      </c>
      <c r="B25" s="4" t="s">
        <v>47</v>
      </c>
      <c r="C25" s="12" t="str">
        <f t="shared" si="6"/>
        <v>□1000×12×1000</v>
      </c>
      <c r="D25" s="12">
        <v>7</v>
      </c>
      <c r="E25" s="3">
        <f t="shared" si="7"/>
        <v>70.812445695720001</v>
      </c>
      <c r="F25" s="3">
        <f t="shared" si="2"/>
        <v>495.68711987004002</v>
      </c>
      <c r="G25" s="8">
        <f t="shared" si="3"/>
        <v>991.37423974008004</v>
      </c>
      <c r="H25" s="35"/>
      <c r="J25" s="1">
        <v>1000</v>
      </c>
      <c r="K25" s="1">
        <v>12</v>
      </c>
      <c r="L25" s="1">
        <v>1000</v>
      </c>
      <c r="M25" s="1">
        <v>751724.47660000005</v>
      </c>
      <c r="N25" s="6">
        <f t="shared" si="4"/>
        <v>1.5034489532000002</v>
      </c>
      <c r="O25" s="1">
        <f t="shared" si="5"/>
        <v>21.048285344800004</v>
      </c>
    </row>
    <row r="26" spans="1:15" x14ac:dyDescent="0.25">
      <c r="A26" s="40"/>
      <c r="B26" s="4" t="s">
        <v>48</v>
      </c>
      <c r="C26" s="12" t="str">
        <f t="shared" si="6"/>
        <v>□1000×24×1000</v>
      </c>
      <c r="D26" s="12">
        <v>2</v>
      </c>
      <c r="E26" s="3">
        <f t="shared" si="7"/>
        <v>141.62489139144</v>
      </c>
      <c r="F26" s="3">
        <f t="shared" si="2"/>
        <v>283.24978278288</v>
      </c>
      <c r="G26" s="8">
        <f t="shared" si="3"/>
        <v>566.49956556576001</v>
      </c>
      <c r="H26" s="35"/>
      <c r="J26" s="1">
        <v>1000</v>
      </c>
      <c r="K26" s="1">
        <v>24</v>
      </c>
      <c r="L26" s="1">
        <v>1000</v>
      </c>
      <c r="M26" s="1">
        <v>751724.47660000005</v>
      </c>
      <c r="N26" s="6">
        <f t="shared" si="4"/>
        <v>1.5034489532000002</v>
      </c>
      <c r="O26" s="1">
        <f t="shared" si="5"/>
        <v>6.0137958128000006</v>
      </c>
    </row>
    <row r="27" spans="1:15" x14ac:dyDescent="0.25">
      <c r="A27" s="39"/>
      <c r="B27" s="4" t="s">
        <v>72</v>
      </c>
      <c r="C27" s="12" t="str">
        <f t="shared" si="6"/>
        <v>□110×10×1491</v>
      </c>
      <c r="D27" s="12">
        <v>9</v>
      </c>
      <c r="E27" s="3">
        <f t="shared" si="7"/>
        <v>12.874785000000001</v>
      </c>
      <c r="F27" s="3">
        <f t="shared" si="2"/>
        <v>115.87306500000001</v>
      </c>
      <c r="G27" s="8">
        <f t="shared" si="3"/>
        <v>231.74613000000002</v>
      </c>
      <c r="H27" s="35"/>
      <c r="J27" s="1">
        <v>110</v>
      </c>
      <c r="K27" s="1">
        <v>10</v>
      </c>
      <c r="L27" s="1">
        <v>1491</v>
      </c>
      <c r="N27" s="6">
        <f t="shared" si="4"/>
        <v>0.32801999999999998</v>
      </c>
      <c r="O27" s="1">
        <f t="shared" si="5"/>
        <v>5.9043599999999996</v>
      </c>
    </row>
    <row r="28" spans="1:15" ht="27.6" x14ac:dyDescent="0.25">
      <c r="A28" s="4" t="s">
        <v>77</v>
      </c>
      <c r="B28" s="4" t="s">
        <v>73</v>
      </c>
      <c r="C28" s="10" t="str">
        <f>CONCATENATE("□",J28,"×",K28,"×",L28,"(总长)")</f>
        <v>□140×12×194082(总长)</v>
      </c>
      <c r="D28" s="2">
        <v>1</v>
      </c>
      <c r="E28" s="11">
        <f>IF(M28&gt;0,(M28*K28/1000000000*7850),(J28*K28*L28/1000000000*7850))</f>
        <v>2559.5534159999997</v>
      </c>
      <c r="F28" s="3">
        <f t="shared" si="2"/>
        <v>2559.5534159999997</v>
      </c>
      <c r="G28" s="8">
        <f t="shared" si="3"/>
        <v>5119.1068319999995</v>
      </c>
      <c r="H28" s="36"/>
      <c r="J28" s="5">
        <v>140</v>
      </c>
      <c r="K28" s="1">
        <v>12</v>
      </c>
      <c r="L28" s="1">
        <f>(23352+25410+48279)*2</f>
        <v>194082</v>
      </c>
      <c r="N28" s="6">
        <f t="shared" si="4"/>
        <v>54.342959999999998</v>
      </c>
      <c r="O28" s="1">
        <f t="shared" si="5"/>
        <v>108.68592</v>
      </c>
    </row>
    <row r="29" spans="1:15" x14ac:dyDescent="0.25">
      <c r="A29" s="4" t="s">
        <v>78</v>
      </c>
      <c r="B29" s="4" t="s">
        <v>20</v>
      </c>
      <c r="C29" s="12" t="str">
        <f t="shared" ref="C29" si="8">CONCATENATE("□",J29,"×",K29,"×",L29)</f>
        <v>□931×110×1000</v>
      </c>
      <c r="D29" s="12">
        <v>1</v>
      </c>
      <c r="E29" s="3">
        <f t="shared" ref="E29" si="9">IF(M29&gt;0,(M29*K29/1000000000*7850),(J29*K29*L29/1000000000*7850))</f>
        <v>803.91849999999999</v>
      </c>
      <c r="F29" s="3">
        <f t="shared" si="2"/>
        <v>803.91849999999999</v>
      </c>
      <c r="G29" s="8">
        <f t="shared" si="3"/>
        <v>1607.837</v>
      </c>
      <c r="H29" s="17" t="s">
        <v>105</v>
      </c>
      <c r="J29" s="5">
        <v>931</v>
      </c>
      <c r="K29" s="1">
        <v>110</v>
      </c>
      <c r="L29" s="1">
        <v>1000</v>
      </c>
      <c r="N29" s="6">
        <f t="shared" si="4"/>
        <v>1.8620000000000001</v>
      </c>
      <c r="O29" s="1">
        <f t="shared" si="5"/>
        <v>3.7240000000000002</v>
      </c>
    </row>
    <row r="30" spans="1:15" x14ac:dyDescent="0.25">
      <c r="A30" s="4"/>
      <c r="B30" s="37" t="s">
        <v>16</v>
      </c>
      <c r="C30" s="37"/>
      <c r="D30" s="37"/>
      <c r="E30" s="37"/>
      <c r="F30" s="7">
        <f>SUM(F4:F29)</f>
        <v>36464.242744836643</v>
      </c>
      <c r="G30" s="8">
        <f t="shared" si="3"/>
        <v>72928.485489673287</v>
      </c>
      <c r="H30" s="8"/>
    </row>
    <row r="31" spans="1:15" x14ac:dyDescent="0.25">
      <c r="A31" s="4"/>
      <c r="B31" s="37" t="s">
        <v>19</v>
      </c>
      <c r="C31" s="37"/>
      <c r="D31" s="37"/>
      <c r="E31" s="37"/>
      <c r="F31" s="8">
        <f>F30*0.015</f>
        <v>546.96364117254961</v>
      </c>
      <c r="G31" s="8">
        <f t="shared" si="3"/>
        <v>1093.9272823450992</v>
      </c>
      <c r="H31" s="8"/>
    </row>
    <row r="32" spans="1:15" x14ac:dyDescent="0.25">
      <c r="A32" s="4"/>
      <c r="B32" s="37" t="s">
        <v>17</v>
      </c>
      <c r="C32" s="37"/>
      <c r="D32" s="37"/>
      <c r="E32" s="37"/>
      <c r="F32" s="7">
        <f>F30+F31</f>
        <v>37011.206386009195</v>
      </c>
      <c r="G32" s="8">
        <f t="shared" si="3"/>
        <v>74022.41277201839</v>
      </c>
      <c r="H32" s="8"/>
    </row>
    <row r="33" spans="1:10" x14ac:dyDescent="0.25">
      <c r="A33" s="37" t="s">
        <v>249</v>
      </c>
      <c r="B33" s="37"/>
      <c r="C33" s="37"/>
      <c r="D33" s="37"/>
      <c r="E33" s="37"/>
      <c r="F33" s="4">
        <f>4</f>
        <v>4</v>
      </c>
      <c r="G33" s="13">
        <f t="shared" si="3"/>
        <v>8</v>
      </c>
      <c r="H33" s="4"/>
    </row>
    <row r="34" spans="1:10" x14ac:dyDescent="0.25">
      <c r="A34" s="37" t="s">
        <v>250</v>
      </c>
      <c r="B34" s="37"/>
      <c r="C34" s="37"/>
      <c r="D34" s="37"/>
      <c r="E34" s="37"/>
      <c r="F34" s="4">
        <v>1.9</v>
      </c>
      <c r="G34" s="8">
        <f t="shared" si="3"/>
        <v>3.8</v>
      </c>
      <c r="H34" s="4"/>
      <c r="J34" s="5"/>
    </row>
    <row r="35" spans="1:10" x14ac:dyDescent="0.25">
      <c r="J35" s="5"/>
    </row>
    <row r="39" spans="1:10" x14ac:dyDescent="0.25">
      <c r="A39" s="33" t="s">
        <v>108</v>
      </c>
      <c r="B39" s="1">
        <v>10</v>
      </c>
      <c r="C39" s="5">
        <f>SUMIF($K$4:$K$29,B39,$G$4:$G$29)</f>
        <v>439.55604000000005</v>
      </c>
    </row>
    <row r="40" spans="1:10" x14ac:dyDescent="0.25">
      <c r="A40" s="33"/>
      <c r="B40" s="1">
        <v>12</v>
      </c>
      <c r="C40" s="5">
        <f t="shared" ref="C40:C41" si="10">SUMIF($K$4:$K$29,B40,$G$4:$G$29)</f>
        <v>9619.8105181571991</v>
      </c>
    </row>
    <row r="41" spans="1:10" x14ac:dyDescent="0.25">
      <c r="A41" s="33"/>
      <c r="B41" s="1">
        <v>24</v>
      </c>
      <c r="C41" s="5">
        <f t="shared" si="10"/>
        <v>61182.690304808893</v>
      </c>
    </row>
    <row r="42" spans="1:10" x14ac:dyDescent="0.25">
      <c r="A42" s="33"/>
      <c r="B42" s="1" t="s">
        <v>101</v>
      </c>
      <c r="C42" s="5">
        <f>SUM(C39:C41)</f>
        <v>71242.056862966099</v>
      </c>
    </row>
    <row r="43" spans="1:10" x14ac:dyDescent="0.25">
      <c r="A43" s="1" t="s">
        <v>104</v>
      </c>
      <c r="B43" s="1" t="s">
        <v>106</v>
      </c>
      <c r="C43" s="5">
        <f>G29</f>
        <v>1607.837</v>
      </c>
      <c r="D43" s="5">
        <f>SUM(C39:C43)</f>
        <v>144091.9507259322</v>
      </c>
    </row>
    <row r="44" spans="1:10" x14ac:dyDescent="0.25">
      <c r="A44" s="33" t="s">
        <v>18</v>
      </c>
      <c r="B44" s="1" t="s">
        <v>102</v>
      </c>
      <c r="C44" s="25">
        <f>SUM(O4:O5)/2+SUM(O22:O23)/2+O29</f>
        <v>159.42012</v>
      </c>
    </row>
    <row r="45" spans="1:10" x14ac:dyDescent="0.25">
      <c r="A45" s="33"/>
      <c r="B45" s="1" t="s">
        <v>103</v>
      </c>
      <c r="C45" s="5">
        <f>SUM(O4:O5)/2+SUM(O22:O23)/2+SUM(O6:O21)+SUM(O25:O28)</f>
        <v>523.64700551720011</v>
      </c>
    </row>
  </sheetData>
  <mergeCells count="12">
    <mergeCell ref="A39:A42"/>
    <mergeCell ref="A44:A45"/>
    <mergeCell ref="N3:O3"/>
    <mergeCell ref="B32:E32"/>
    <mergeCell ref="H4:H28"/>
    <mergeCell ref="A6:A7"/>
    <mergeCell ref="A8:A20"/>
    <mergeCell ref="A25:A27"/>
    <mergeCell ref="B30:E30"/>
    <mergeCell ref="B31:E31"/>
    <mergeCell ref="A33:E33"/>
    <mergeCell ref="A34:E34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A530-03DE-420A-B0CC-CC0815D3350B}">
  <dimension ref="A2:N41"/>
  <sheetViews>
    <sheetView topLeftCell="A7" workbookViewId="0">
      <selection activeCell="M4" sqref="M4"/>
    </sheetView>
  </sheetViews>
  <sheetFormatPr defaultColWidth="9" defaultRowHeight="13.8" x14ac:dyDescent="0.25"/>
  <cols>
    <col min="1" max="1" width="9" style="1"/>
    <col min="2" max="2" width="21" style="1" customWidth="1"/>
    <col min="3" max="3" width="9" style="1"/>
    <col min="4" max="4" width="13.109375" style="1" customWidth="1"/>
    <col min="5" max="5" width="9" style="1"/>
    <col min="6" max="6" width="20.33203125" style="1" customWidth="1"/>
    <col min="7" max="7" width="10.33203125" style="1" customWidth="1"/>
    <col min="8" max="16384" width="9" style="1"/>
  </cols>
  <sheetData>
    <row r="2" spans="1:14" x14ac:dyDescent="0.25">
      <c r="A2" s="37" t="s">
        <v>84</v>
      </c>
      <c r="B2" s="37"/>
      <c r="C2" s="37"/>
      <c r="D2" s="37"/>
      <c r="E2" s="37"/>
      <c r="F2" s="37" t="s">
        <v>85</v>
      </c>
      <c r="G2" s="37" t="s">
        <v>63</v>
      </c>
    </row>
    <row r="3" spans="1:14" ht="13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7"/>
      <c r="G3" s="37"/>
      <c r="I3" s="1" t="s">
        <v>7</v>
      </c>
      <c r="J3" s="1" t="s">
        <v>6</v>
      </c>
      <c r="K3" s="1" t="s">
        <v>5</v>
      </c>
      <c r="L3" s="1" t="s">
        <v>8</v>
      </c>
      <c r="M3" s="33" t="s">
        <v>18</v>
      </c>
      <c r="N3" s="33"/>
    </row>
    <row r="4" spans="1:14" x14ac:dyDescent="0.25">
      <c r="A4" s="2" t="s">
        <v>79</v>
      </c>
      <c r="B4" s="2" t="str">
        <f t="shared" ref="B4:B8" si="0">CONCATENATE("□",I4,"×",J4,"×",K4)</f>
        <v>□725×18×1100</v>
      </c>
      <c r="C4" s="2">
        <v>1</v>
      </c>
      <c r="D4" s="3">
        <f t="shared" ref="D4:D8" si="1">IF(L4&gt;0,(L4*J4/1000000000*7850),(I4*J4*K4/1000000000*7850))</f>
        <v>82.621088448570006</v>
      </c>
      <c r="E4" s="3">
        <f t="shared" ref="E4:E8" si="2">C4*D4</f>
        <v>82.621088448570006</v>
      </c>
      <c r="F4" s="8">
        <f>E4*38</f>
        <v>3139.6013610456603</v>
      </c>
      <c r="G4" s="41" t="s">
        <v>108</v>
      </c>
      <c r="I4" s="5">
        <v>725</v>
      </c>
      <c r="J4" s="1">
        <v>18</v>
      </c>
      <c r="K4" s="1">
        <v>1100</v>
      </c>
      <c r="L4" s="1">
        <v>584721.07889999996</v>
      </c>
      <c r="M4" s="6">
        <f>IF(L4&gt;0,(L4*2/1000000),(I4*K4*2/1000000))</f>
        <v>1.1694421577999998</v>
      </c>
      <c r="N4" s="1">
        <f>M4*C4*38</f>
        <v>44.438801996399995</v>
      </c>
    </row>
    <row r="5" spans="1:14" x14ac:dyDescent="0.25">
      <c r="A5" s="2" t="s">
        <v>80</v>
      </c>
      <c r="B5" s="2" t="str">
        <f t="shared" si="0"/>
        <v>□400×50×1100</v>
      </c>
      <c r="C5" s="2">
        <v>2</v>
      </c>
      <c r="D5" s="3">
        <f t="shared" si="1"/>
        <v>172.7</v>
      </c>
      <c r="E5" s="3">
        <f t="shared" si="2"/>
        <v>345.4</v>
      </c>
      <c r="F5" s="8">
        <f t="shared" ref="F5:F9" si="3">E5*38</f>
        <v>13125.199999999999</v>
      </c>
      <c r="G5" s="41"/>
      <c r="I5" s="5">
        <v>400</v>
      </c>
      <c r="J5" s="1">
        <v>50</v>
      </c>
      <c r="K5" s="1">
        <v>1100</v>
      </c>
      <c r="M5" s="6">
        <f t="shared" ref="M5:M9" si="4">IF(L5&gt;0,(L5*2/1000000),(I5*K5*2/1000000))</f>
        <v>0.88</v>
      </c>
      <c r="N5" s="1">
        <f t="shared" ref="N5:N9" si="5">M5*C5*38</f>
        <v>66.88</v>
      </c>
    </row>
    <row r="6" spans="1:14" x14ac:dyDescent="0.25">
      <c r="A6" s="2" t="s">
        <v>81</v>
      </c>
      <c r="B6" s="2" t="str">
        <f t="shared" si="0"/>
        <v>□191×28×340</v>
      </c>
      <c r="C6" s="2">
        <v>4</v>
      </c>
      <c r="D6" s="3">
        <f t="shared" si="1"/>
        <v>13.01279460656</v>
      </c>
      <c r="E6" s="3">
        <f t="shared" si="2"/>
        <v>52.05117842624</v>
      </c>
      <c r="F6" s="8">
        <f t="shared" si="3"/>
        <v>1977.9447801971201</v>
      </c>
      <c r="G6" s="41"/>
      <c r="I6" s="5">
        <v>191</v>
      </c>
      <c r="J6" s="1">
        <v>28</v>
      </c>
      <c r="K6" s="1">
        <v>340</v>
      </c>
      <c r="L6" s="1">
        <v>59202.887199999997</v>
      </c>
      <c r="M6" s="6">
        <f t="shared" si="4"/>
        <v>0.1184057744</v>
      </c>
      <c r="N6" s="1">
        <f t="shared" si="5"/>
        <v>17.997677708799998</v>
      </c>
    </row>
    <row r="7" spans="1:14" x14ac:dyDescent="0.25">
      <c r="A7" s="2" t="s">
        <v>82</v>
      </c>
      <c r="B7" s="2" t="str">
        <f t="shared" si="0"/>
        <v>□191×28×240</v>
      </c>
      <c r="C7" s="2">
        <v>6</v>
      </c>
      <c r="D7" s="3">
        <f t="shared" si="1"/>
        <v>10.075632000000001</v>
      </c>
      <c r="E7" s="3">
        <f t="shared" si="2"/>
        <v>60.453792000000007</v>
      </c>
      <c r="F7" s="8">
        <f t="shared" si="3"/>
        <v>2297.2440960000004</v>
      </c>
      <c r="G7" s="41"/>
      <c r="I7" s="5">
        <v>191</v>
      </c>
      <c r="J7" s="1">
        <v>28</v>
      </c>
      <c r="K7" s="1">
        <v>240</v>
      </c>
      <c r="M7" s="6">
        <f t="shared" si="4"/>
        <v>9.1679999999999998E-2</v>
      </c>
      <c r="N7" s="1">
        <f t="shared" si="5"/>
        <v>20.903040000000001</v>
      </c>
    </row>
    <row r="8" spans="1:14" x14ac:dyDescent="0.25">
      <c r="A8" s="2" t="s">
        <v>83</v>
      </c>
      <c r="B8" s="2" t="str">
        <f t="shared" si="0"/>
        <v>□190×28×400</v>
      </c>
      <c r="C8" s="2">
        <v>4</v>
      </c>
      <c r="D8" s="3">
        <f t="shared" si="1"/>
        <v>16.704800000000002</v>
      </c>
      <c r="E8" s="3">
        <f t="shared" si="2"/>
        <v>66.819200000000009</v>
      </c>
      <c r="F8" s="8">
        <f t="shared" si="3"/>
        <v>2539.1296000000002</v>
      </c>
      <c r="G8" s="41"/>
      <c r="I8" s="5">
        <v>190</v>
      </c>
      <c r="J8" s="1">
        <v>28</v>
      </c>
      <c r="K8" s="1">
        <v>400</v>
      </c>
      <c r="M8" s="6">
        <f t="shared" si="4"/>
        <v>0.152</v>
      </c>
      <c r="N8" s="1">
        <f t="shared" si="5"/>
        <v>23.103999999999999</v>
      </c>
    </row>
    <row r="9" spans="1:14" x14ac:dyDescent="0.25">
      <c r="A9" s="2" t="s">
        <v>86</v>
      </c>
      <c r="B9" s="2" t="str">
        <f t="shared" ref="B9" si="6">CONCATENATE("□",I9,"×",J9,"×",K9)</f>
        <v>□120×18×120</v>
      </c>
      <c r="C9" s="2">
        <v>4</v>
      </c>
      <c r="D9" s="3">
        <f t="shared" ref="D9" si="7">IF(L9&gt;0,(L9*J9/1000000000*7850),(I9*J9*K9/1000000000*7850))</f>
        <v>16.15821632838</v>
      </c>
      <c r="E9" s="3">
        <f t="shared" ref="E9" si="8">C9*D9</f>
        <v>64.63286531352</v>
      </c>
      <c r="F9" s="8">
        <f t="shared" si="3"/>
        <v>2456.0488819137599</v>
      </c>
      <c r="G9" s="41"/>
      <c r="I9" s="5">
        <v>120</v>
      </c>
      <c r="J9" s="1">
        <v>18</v>
      </c>
      <c r="K9" s="1">
        <v>120</v>
      </c>
      <c r="L9" s="1">
        <v>114353.97259999999</v>
      </c>
      <c r="M9" s="6">
        <f t="shared" si="4"/>
        <v>0.22870794519999998</v>
      </c>
      <c r="N9" s="1">
        <f t="shared" si="5"/>
        <v>34.763607670399999</v>
      </c>
    </row>
    <row r="10" spans="1:14" x14ac:dyDescent="0.25">
      <c r="A10" s="37" t="s">
        <v>16</v>
      </c>
      <c r="B10" s="37"/>
      <c r="C10" s="37"/>
      <c r="D10" s="37"/>
      <c r="E10" s="7">
        <f>SUM(E4:E9)</f>
        <v>671.97812418833007</v>
      </c>
      <c r="F10" s="8">
        <f>E10*38</f>
        <v>25535.168719156543</v>
      </c>
      <c r="G10" s="41"/>
      <c r="I10" s="5"/>
      <c r="M10" s="6"/>
    </row>
    <row r="11" spans="1:14" x14ac:dyDescent="0.25">
      <c r="A11" s="37" t="s">
        <v>19</v>
      </c>
      <c r="B11" s="37"/>
      <c r="C11" s="37"/>
      <c r="D11" s="37"/>
      <c r="E11" s="8">
        <f>E10*0.015</f>
        <v>10.07967186282495</v>
      </c>
      <c r="F11" s="8">
        <f t="shared" ref="F11:F12" si="9">E11*38</f>
        <v>383.0275307873481</v>
      </c>
      <c r="G11" s="41"/>
      <c r="I11" s="5"/>
      <c r="M11" s="6"/>
    </row>
    <row r="12" spans="1:14" x14ac:dyDescent="0.25">
      <c r="A12" s="37" t="s">
        <v>17</v>
      </c>
      <c r="B12" s="37"/>
      <c r="C12" s="37"/>
      <c r="D12" s="37"/>
      <c r="E12" s="7">
        <f>E10+E11</f>
        <v>682.05779605115504</v>
      </c>
      <c r="F12" s="8">
        <f t="shared" si="9"/>
        <v>25918.196249943892</v>
      </c>
      <c r="G12" s="41"/>
      <c r="I12" s="5"/>
      <c r="M12" s="6"/>
    </row>
    <row r="13" spans="1:14" x14ac:dyDescent="0.25">
      <c r="A13" s="4" t="s">
        <v>87</v>
      </c>
      <c r="B13" s="4" t="s">
        <v>88</v>
      </c>
      <c r="C13" s="4">
        <v>16</v>
      </c>
      <c r="D13" s="4"/>
      <c r="E13" s="7"/>
      <c r="F13" s="22">
        <f>C13*38</f>
        <v>608</v>
      </c>
      <c r="G13" s="8"/>
      <c r="I13" s="5"/>
      <c r="M13" s="6"/>
    </row>
    <row r="14" spans="1:14" x14ac:dyDescent="0.25">
      <c r="E14" s="21"/>
      <c r="F14" s="5"/>
      <c r="G14" s="5"/>
      <c r="I14" s="5"/>
      <c r="M14" s="6"/>
    </row>
    <row r="15" spans="1:14" x14ac:dyDescent="0.25">
      <c r="E15" s="21"/>
      <c r="F15" s="5"/>
      <c r="G15" s="5"/>
      <c r="I15" s="5"/>
      <c r="M15" s="6"/>
    </row>
    <row r="16" spans="1:14" x14ac:dyDescent="0.25">
      <c r="B16" s="18"/>
      <c r="C16" s="18"/>
      <c r="D16" s="19"/>
      <c r="E16" s="19"/>
      <c r="F16" s="5"/>
      <c r="G16" s="20"/>
      <c r="I16" s="5"/>
      <c r="M16" s="6"/>
    </row>
    <row r="17" spans="1:14" x14ac:dyDescent="0.25">
      <c r="A17" s="37" t="s">
        <v>84</v>
      </c>
      <c r="B17" s="37"/>
      <c r="C17" s="37"/>
      <c r="D17" s="37"/>
      <c r="E17" s="37"/>
      <c r="F17" s="37" t="s">
        <v>91</v>
      </c>
      <c r="G17" s="37" t="s">
        <v>63</v>
      </c>
      <c r="I17" s="5"/>
      <c r="M17" s="6"/>
    </row>
    <row r="18" spans="1:14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37"/>
      <c r="G18" s="37"/>
      <c r="I18" s="5"/>
      <c r="M18" s="6"/>
    </row>
    <row r="19" spans="1:14" x14ac:dyDescent="0.25">
      <c r="A19" s="2" t="s">
        <v>79</v>
      </c>
      <c r="B19" s="2" t="str">
        <f t="shared" ref="B19" si="10">CONCATENATE("□",I19,"×",J19,"×",K19)</f>
        <v>□780×36×820</v>
      </c>
      <c r="C19" s="2">
        <v>2</v>
      </c>
      <c r="D19" s="3">
        <f t="shared" ref="D19" si="11">IF(L19&gt;0,(L19*J19/1000000000*7850),(I19*J19*K19/1000000000*7850))</f>
        <v>141.97443216282002</v>
      </c>
      <c r="E19" s="3">
        <f t="shared" ref="E19" si="12">C19*D19</f>
        <v>283.94886432564005</v>
      </c>
      <c r="F19" s="8">
        <f>E19*8</f>
        <v>2271.5909146051204</v>
      </c>
      <c r="G19" s="34" t="s">
        <v>108</v>
      </c>
      <c r="I19" s="5">
        <v>780</v>
      </c>
      <c r="J19" s="1">
        <v>36</v>
      </c>
      <c r="K19" s="1">
        <v>820</v>
      </c>
      <c r="L19" s="1">
        <v>502386.5257</v>
      </c>
      <c r="M19" s="6">
        <f t="shared" ref="M19:M25" si="13">IF(L19&gt;0,(L19*2/1000000),(I19*K19*2/1000000))</f>
        <v>1.0047730514</v>
      </c>
      <c r="N19" s="1">
        <f>M19*C19*8</f>
        <v>16.076368822399999</v>
      </c>
    </row>
    <row r="20" spans="1:14" x14ac:dyDescent="0.25">
      <c r="A20" s="2" t="s">
        <v>80</v>
      </c>
      <c r="B20" s="2" t="str">
        <f t="shared" ref="B20:B21" si="14">CONCATENATE("□",I20,"×",J20,"×",K20)</f>
        <v>□550×50×1600</v>
      </c>
      <c r="C20" s="2">
        <v>1</v>
      </c>
      <c r="D20" s="3">
        <f t="shared" ref="D20:D21" si="15">IF(L20&gt;0,(L20*J20/1000000000*7850),(I20*J20*K20/1000000000*7850))</f>
        <v>345.4</v>
      </c>
      <c r="E20" s="3">
        <f t="shared" ref="E20:E21" si="16">C20*D20</f>
        <v>345.4</v>
      </c>
      <c r="F20" s="8">
        <f t="shared" ref="F20:F28" si="17">E20*8</f>
        <v>2763.2</v>
      </c>
      <c r="G20" s="35"/>
      <c r="I20" s="5">
        <v>550</v>
      </c>
      <c r="J20" s="1">
        <v>50</v>
      </c>
      <c r="K20" s="5">
        <v>1600</v>
      </c>
      <c r="M20" s="6">
        <f t="shared" si="13"/>
        <v>1.76</v>
      </c>
      <c r="N20" s="1">
        <f t="shared" ref="N20:N25" si="18">M20*C20*8</f>
        <v>14.08</v>
      </c>
    </row>
    <row r="21" spans="1:14" x14ac:dyDescent="0.25">
      <c r="A21" s="2" t="s">
        <v>89</v>
      </c>
      <c r="B21" s="2" t="str">
        <f t="shared" si="14"/>
        <v>□550×50×750</v>
      </c>
      <c r="C21" s="2">
        <v>2</v>
      </c>
      <c r="D21" s="3">
        <f t="shared" si="15"/>
        <v>161.90625</v>
      </c>
      <c r="E21" s="3">
        <f t="shared" si="16"/>
        <v>323.8125</v>
      </c>
      <c r="F21" s="8">
        <f t="shared" si="17"/>
        <v>2590.5</v>
      </c>
      <c r="G21" s="35"/>
      <c r="I21" s="5">
        <v>550</v>
      </c>
      <c r="J21" s="1">
        <v>50</v>
      </c>
      <c r="K21" s="5">
        <v>750</v>
      </c>
      <c r="M21" s="6">
        <f t="shared" si="13"/>
        <v>0.82499999999999996</v>
      </c>
      <c r="N21" s="1">
        <f t="shared" si="18"/>
        <v>13.2</v>
      </c>
    </row>
    <row r="22" spans="1:14" x14ac:dyDescent="0.25">
      <c r="A22" s="2" t="s">
        <v>90</v>
      </c>
      <c r="B22" s="2" t="str">
        <f t="shared" ref="B22" si="19">CONCATENATE("□",I22,"×",J22,"×",K22)</f>
        <v>□257×28×458</v>
      </c>
      <c r="C22" s="2">
        <v>8</v>
      </c>
      <c r="D22" s="3">
        <f t="shared" ref="D22" si="20">IF(L22&gt;0,(L22*J22/1000000000*7850),(I22*J22*K22/1000000000*7850))</f>
        <v>23.96564840656</v>
      </c>
      <c r="E22" s="3">
        <f t="shared" ref="E22" si="21">C22*D22</f>
        <v>191.72518725248</v>
      </c>
      <c r="F22" s="8">
        <f t="shared" si="17"/>
        <v>1533.80149801984</v>
      </c>
      <c r="G22" s="35"/>
      <c r="I22" s="5">
        <v>257</v>
      </c>
      <c r="J22" s="1">
        <v>28</v>
      </c>
      <c r="K22" s="5">
        <v>458</v>
      </c>
      <c r="L22" s="1">
        <v>109033.8872</v>
      </c>
      <c r="M22" s="6">
        <f t="shared" si="13"/>
        <v>0.2180677744</v>
      </c>
      <c r="N22" s="1">
        <f t="shared" si="18"/>
        <v>13.9563375616</v>
      </c>
    </row>
    <row r="23" spans="1:14" x14ac:dyDescent="0.25">
      <c r="A23" s="2" t="s">
        <v>82</v>
      </c>
      <c r="B23" s="2" t="str">
        <f t="shared" ref="B23" si="22">CONCATENATE("□",I23,"×",J23,"×",K23)</f>
        <v>□257×28×280</v>
      </c>
      <c r="C23" s="2">
        <v>4</v>
      </c>
      <c r="D23" s="3">
        <f t="shared" ref="D23" si="23">IF(L23&gt;0,(L23*J23/1000000000*7850),(I23*J23*K23/1000000000*7850))</f>
        <v>15.816808000000002</v>
      </c>
      <c r="E23" s="3">
        <f t="shared" ref="E23" si="24">C23*D23</f>
        <v>63.267232000000007</v>
      </c>
      <c r="F23" s="8">
        <f t="shared" si="17"/>
        <v>506.13785600000006</v>
      </c>
      <c r="G23" s="35"/>
      <c r="I23" s="5">
        <v>257</v>
      </c>
      <c r="J23" s="1">
        <v>28</v>
      </c>
      <c r="K23" s="5">
        <v>280</v>
      </c>
      <c r="M23" s="6">
        <f t="shared" si="13"/>
        <v>0.14391999999999999</v>
      </c>
      <c r="N23" s="1">
        <f t="shared" si="18"/>
        <v>4.6054399999999998</v>
      </c>
    </row>
    <row r="24" spans="1:14" x14ac:dyDescent="0.25">
      <c r="A24" s="2" t="s">
        <v>83</v>
      </c>
      <c r="B24" s="2" t="str">
        <f t="shared" ref="B24" si="25">CONCATENATE("□",I24,"×",J24,"×",K24)</f>
        <v>□190×28×550</v>
      </c>
      <c r="C24" s="2">
        <v>6</v>
      </c>
      <c r="D24" s="3">
        <f t="shared" ref="D24" si="26">IF(L24&gt;0,(L24*J24/1000000000*7850),(I24*J24*K24/1000000000*7850))</f>
        <v>22.969100000000001</v>
      </c>
      <c r="E24" s="3">
        <f t="shared" ref="E24" si="27">C24*D24</f>
        <v>137.81460000000001</v>
      </c>
      <c r="F24" s="8">
        <f t="shared" si="17"/>
        <v>1102.5168000000001</v>
      </c>
      <c r="G24" s="35"/>
      <c r="I24" s="5">
        <v>190</v>
      </c>
      <c r="J24" s="1">
        <v>28</v>
      </c>
      <c r="K24" s="5">
        <v>550</v>
      </c>
      <c r="M24" s="6">
        <f t="shared" si="13"/>
        <v>0.20899999999999999</v>
      </c>
      <c r="N24" s="1">
        <f t="shared" si="18"/>
        <v>10.032</v>
      </c>
    </row>
    <row r="25" spans="1:14" x14ac:dyDescent="0.25">
      <c r="A25" s="2" t="s">
        <v>86</v>
      </c>
      <c r="B25" s="2" t="str">
        <f t="shared" ref="B25" si="28">CONCATENATE("□",I25,"×",J25,"×",K25)</f>
        <v>□180×36×180</v>
      </c>
      <c r="C25" s="2">
        <v>4</v>
      </c>
      <c r="D25" s="3">
        <f t="shared" ref="D25" si="29">IF(L25&gt;0,(L25*J25/1000000000*7850),(I25*J25*K25/1000000000*7850))</f>
        <v>26.545641096779995</v>
      </c>
      <c r="E25" s="3">
        <f t="shared" ref="E25" si="30">C25*D25</f>
        <v>106.18256438711998</v>
      </c>
      <c r="F25" s="8">
        <f t="shared" si="17"/>
        <v>849.46051509695985</v>
      </c>
      <c r="G25" s="35"/>
      <c r="I25" s="5">
        <v>180</v>
      </c>
      <c r="J25" s="1">
        <v>36</v>
      </c>
      <c r="K25" s="1">
        <v>180</v>
      </c>
      <c r="L25" s="1">
        <v>93933.620299999995</v>
      </c>
      <c r="M25" s="6">
        <f t="shared" si="13"/>
        <v>0.18786724059999999</v>
      </c>
      <c r="N25" s="1">
        <f t="shared" si="18"/>
        <v>6.0117516991999995</v>
      </c>
    </row>
    <row r="26" spans="1:14" x14ac:dyDescent="0.25">
      <c r="A26" s="37" t="s">
        <v>16</v>
      </c>
      <c r="B26" s="37"/>
      <c r="C26" s="37"/>
      <c r="D26" s="37"/>
      <c r="E26" s="7">
        <f>SUM(E19:E25)</f>
        <v>1452.15094796524</v>
      </c>
      <c r="F26" s="8">
        <f t="shared" si="17"/>
        <v>11617.20758372192</v>
      </c>
      <c r="G26" s="35"/>
    </row>
    <row r="27" spans="1:14" x14ac:dyDescent="0.25">
      <c r="A27" s="37" t="s">
        <v>19</v>
      </c>
      <c r="B27" s="37"/>
      <c r="C27" s="37"/>
      <c r="D27" s="37"/>
      <c r="E27" s="8">
        <f>E26*0.015</f>
        <v>21.782264219478598</v>
      </c>
      <c r="F27" s="8">
        <f t="shared" si="17"/>
        <v>174.25811375582879</v>
      </c>
      <c r="G27" s="35"/>
    </row>
    <row r="28" spans="1:14" x14ac:dyDescent="0.25">
      <c r="A28" s="37" t="s">
        <v>17</v>
      </c>
      <c r="B28" s="37"/>
      <c r="C28" s="37"/>
      <c r="D28" s="37"/>
      <c r="E28" s="7">
        <f>E26+E27</f>
        <v>1473.9332121847185</v>
      </c>
      <c r="F28" s="8">
        <f t="shared" si="17"/>
        <v>11791.465697477748</v>
      </c>
      <c r="G28" s="36"/>
    </row>
    <row r="29" spans="1:14" x14ac:dyDescent="0.25">
      <c r="A29" s="4" t="s">
        <v>87</v>
      </c>
      <c r="B29" s="4" t="s">
        <v>88</v>
      </c>
      <c r="C29" s="4">
        <v>24</v>
      </c>
      <c r="D29" s="4"/>
      <c r="E29" s="7"/>
      <c r="F29" s="22">
        <f>C29*8</f>
        <v>192</v>
      </c>
      <c r="G29" s="4"/>
    </row>
    <row r="30" spans="1:14" x14ac:dyDescent="0.25">
      <c r="I30" s="5"/>
    </row>
    <row r="31" spans="1:14" x14ac:dyDescent="0.25">
      <c r="I31" s="5"/>
    </row>
    <row r="35" spans="1:6" x14ac:dyDescent="0.25">
      <c r="A35" s="33" t="s">
        <v>108</v>
      </c>
      <c r="B35" s="1">
        <v>18</v>
      </c>
      <c r="C35" s="5">
        <f>SUMIF($J$4:$J$25,B35,$F$4:$F$25)</f>
        <v>5595.6502429594202</v>
      </c>
      <c r="F35" s="26"/>
    </row>
    <row r="36" spans="1:6" x14ac:dyDescent="0.25">
      <c r="A36" s="33"/>
      <c r="B36" s="1">
        <v>28</v>
      </c>
      <c r="C36" s="5">
        <f t="shared" ref="C36:C38" si="31">SUMIF($J$4:$J$25,B36,$F$4:$F$25)</f>
        <v>9956.7746302169598</v>
      </c>
    </row>
    <row r="37" spans="1:6" x14ac:dyDescent="0.25">
      <c r="A37" s="33"/>
      <c r="B37" s="1">
        <v>36</v>
      </c>
      <c r="C37" s="5">
        <f t="shared" si="31"/>
        <v>3121.05142970208</v>
      </c>
    </row>
    <row r="38" spans="1:6" x14ac:dyDescent="0.25">
      <c r="A38" s="33"/>
      <c r="B38" s="1">
        <v>50</v>
      </c>
      <c r="C38" s="5">
        <f t="shared" si="31"/>
        <v>18478.899999999998</v>
      </c>
    </row>
    <row r="39" spans="1:6" x14ac:dyDescent="0.25">
      <c r="A39" s="33"/>
      <c r="B39" s="1" t="s">
        <v>101</v>
      </c>
      <c r="C39" s="5">
        <f>SUM(C35:C38)</f>
        <v>37152.37630287846</v>
      </c>
    </row>
    <row r="40" spans="1:6" x14ac:dyDescent="0.25">
      <c r="A40" s="1" t="s">
        <v>55</v>
      </c>
      <c r="C40" s="27">
        <f>F13+F29</f>
        <v>800</v>
      </c>
    </row>
    <row r="41" spans="1:6" x14ac:dyDescent="0.25">
      <c r="A41" s="1" t="s">
        <v>18</v>
      </c>
      <c r="B41" s="1" t="s">
        <v>102</v>
      </c>
      <c r="C41" s="25">
        <f>SUM(N4:N25)</f>
        <v>286.04902545879997</v>
      </c>
    </row>
  </sheetData>
  <mergeCells count="16">
    <mergeCell ref="A35:A39"/>
    <mergeCell ref="M3:N3"/>
    <mergeCell ref="F17:F18"/>
    <mergeCell ref="G17:G18"/>
    <mergeCell ref="G19:G28"/>
    <mergeCell ref="A28:D28"/>
    <mergeCell ref="A26:D26"/>
    <mergeCell ref="A27:D27"/>
    <mergeCell ref="A17:E17"/>
    <mergeCell ref="A2:E2"/>
    <mergeCell ref="F2:F3"/>
    <mergeCell ref="G2:G3"/>
    <mergeCell ref="A10:D10"/>
    <mergeCell ref="A11:D11"/>
    <mergeCell ref="G4:G12"/>
    <mergeCell ref="A12:D12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CF46-5397-4638-B67A-DB7533AEA36C}">
  <dimension ref="A5:N20"/>
  <sheetViews>
    <sheetView workbookViewId="0">
      <selection activeCell="G30" sqref="G30:G31"/>
    </sheetView>
  </sheetViews>
  <sheetFormatPr defaultColWidth="13.21875" defaultRowHeight="13.8" x14ac:dyDescent="0.25"/>
  <cols>
    <col min="1" max="1" width="13.21875" style="1"/>
    <col min="2" max="2" width="31.44140625" style="1" customWidth="1"/>
    <col min="3" max="16384" width="13.21875" style="1"/>
  </cols>
  <sheetData>
    <row r="5" spans="1:14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I5" s="1" t="s">
        <v>7</v>
      </c>
      <c r="J5" s="1" t="s">
        <v>6</v>
      </c>
      <c r="K5" s="1" t="s">
        <v>5</v>
      </c>
      <c r="L5" s="1" t="s">
        <v>8</v>
      </c>
      <c r="M5" s="33" t="s">
        <v>18</v>
      </c>
      <c r="N5" s="33"/>
    </row>
    <row r="6" spans="1:14" ht="13.2" customHeight="1" x14ac:dyDescent="0.25">
      <c r="A6" s="2" t="s">
        <v>20</v>
      </c>
      <c r="B6" s="2" t="str">
        <f t="shared" ref="B6:B10" si="0">CONCATENATE("□",I6,"×",J6,"×",K6)</f>
        <v>□25134×8×86520</v>
      </c>
      <c r="C6" s="2">
        <v>2</v>
      </c>
      <c r="D6" s="3">
        <f t="shared" ref="D6:D10" si="1">IF(L6&gt;0,(L6*J6/1000000000*7850),(I6*J6*K6/1000000000*7850))</f>
        <v>27151.112142059843</v>
      </c>
      <c r="E6" s="3">
        <f t="shared" ref="E6:E10" si="2">C6*D6</f>
        <v>54302.224284119686</v>
      </c>
      <c r="I6" s="1">
        <v>25134</v>
      </c>
      <c r="J6" s="1">
        <v>8</v>
      </c>
      <c r="K6" s="1">
        <v>86520</v>
      </c>
      <c r="L6" s="1">
        <v>432342550.03280002</v>
      </c>
      <c r="M6" s="6">
        <f>IF(L6&gt;0,(L6*2/1000000),(I6*K6*2/1000000))</f>
        <v>864.68510006560007</v>
      </c>
      <c r="N6" s="1">
        <f>M6*C6</f>
        <v>1729.3702001312001</v>
      </c>
    </row>
    <row r="7" spans="1:14" ht="15.6" customHeight="1" x14ac:dyDescent="0.25">
      <c r="A7" s="2" t="s">
        <v>92</v>
      </c>
      <c r="B7" s="2" t="str">
        <f t="shared" si="0"/>
        <v>□26031×8×88503</v>
      </c>
      <c r="C7" s="2">
        <v>2</v>
      </c>
      <c r="D7" s="3">
        <f t="shared" si="1"/>
        <v>28504.818147719521</v>
      </c>
      <c r="E7" s="3">
        <f t="shared" si="2"/>
        <v>57009.636295439042</v>
      </c>
      <c r="I7" s="1">
        <v>26031</v>
      </c>
      <c r="J7" s="1">
        <v>8</v>
      </c>
      <c r="K7" s="1">
        <v>88503</v>
      </c>
      <c r="L7" s="1">
        <v>453898378.14840001</v>
      </c>
      <c r="M7" s="6">
        <f t="shared" ref="M7:M10" si="3">IF(L7&gt;0,(L7*2/1000000),(I7*K7*2/1000000))</f>
        <v>907.79675629680003</v>
      </c>
      <c r="N7" s="1">
        <f t="shared" ref="N7:N10" si="4">M7*C7</f>
        <v>1815.5935125936001</v>
      </c>
    </row>
    <row r="8" spans="1:14" x14ac:dyDescent="0.25">
      <c r="A8" s="4" t="s">
        <v>50</v>
      </c>
      <c r="B8" s="2" t="str">
        <f t="shared" si="0"/>
        <v>□100×12×195</v>
      </c>
      <c r="C8" s="4">
        <f>INT((175126.2538+179616.2918)/500)*2</f>
        <v>1418</v>
      </c>
      <c r="D8" s="3">
        <f t="shared" si="1"/>
        <v>1.8369</v>
      </c>
      <c r="E8" s="3">
        <f t="shared" si="2"/>
        <v>2604.7242000000001</v>
      </c>
      <c r="I8" s="1">
        <v>100</v>
      </c>
      <c r="J8" s="1">
        <v>12</v>
      </c>
      <c r="K8" s="1">
        <v>195</v>
      </c>
      <c r="M8" s="6">
        <f t="shared" si="3"/>
        <v>3.9E-2</v>
      </c>
      <c r="N8" s="1">
        <f t="shared" si="4"/>
        <v>55.302</v>
      </c>
    </row>
    <row r="9" spans="1:14" x14ac:dyDescent="0.25">
      <c r="A9" s="4" t="s">
        <v>51</v>
      </c>
      <c r="B9" s="2" t="str">
        <f t="shared" si="0"/>
        <v>□87×12×100</v>
      </c>
      <c r="C9" s="4">
        <f>C8</f>
        <v>1418</v>
      </c>
      <c r="D9" s="3">
        <f t="shared" si="1"/>
        <v>0.81954000000000005</v>
      </c>
      <c r="E9" s="3">
        <f t="shared" si="2"/>
        <v>1162.10772</v>
      </c>
      <c r="I9" s="1">
        <v>87</v>
      </c>
      <c r="J9" s="1">
        <v>12</v>
      </c>
      <c r="K9" s="1">
        <v>100</v>
      </c>
      <c r="M9" s="6">
        <f t="shared" si="3"/>
        <v>1.7399999999999999E-2</v>
      </c>
      <c r="N9" s="1">
        <f t="shared" si="4"/>
        <v>24.673199999999998</v>
      </c>
    </row>
    <row r="10" spans="1:14" x14ac:dyDescent="0.25">
      <c r="A10" s="4" t="s">
        <v>52</v>
      </c>
      <c r="B10" s="2" t="str">
        <f t="shared" si="0"/>
        <v>□25×12×38</v>
      </c>
      <c r="C10" s="4">
        <f>C9*4</f>
        <v>5672</v>
      </c>
      <c r="D10" s="3">
        <f t="shared" si="1"/>
        <v>8.949E-2</v>
      </c>
      <c r="E10" s="3">
        <f t="shared" si="2"/>
        <v>507.58728000000002</v>
      </c>
      <c r="I10" s="1">
        <v>25</v>
      </c>
      <c r="J10" s="1">
        <v>12</v>
      </c>
      <c r="K10" s="1">
        <v>38</v>
      </c>
      <c r="M10" s="6">
        <f t="shared" si="3"/>
        <v>1.9E-3</v>
      </c>
      <c r="N10" s="1">
        <f t="shared" si="4"/>
        <v>10.7768</v>
      </c>
    </row>
    <row r="11" spans="1:14" x14ac:dyDescent="0.25">
      <c r="A11" s="37" t="s">
        <v>16</v>
      </c>
      <c r="B11" s="37"/>
      <c r="C11" s="37"/>
      <c r="D11" s="37"/>
      <c r="E11" s="7">
        <f>SUM(E6:E10)</f>
        <v>115586.27977955874</v>
      </c>
    </row>
    <row r="12" spans="1:14" x14ac:dyDescent="0.25">
      <c r="A12" s="37" t="s">
        <v>19</v>
      </c>
      <c r="B12" s="37"/>
      <c r="C12" s="37"/>
      <c r="D12" s="37"/>
      <c r="E12" s="8">
        <f>E11*0.015</f>
        <v>1733.7941966933811</v>
      </c>
    </row>
    <row r="13" spans="1:14" x14ac:dyDescent="0.25">
      <c r="A13" s="37" t="s">
        <v>17</v>
      </c>
      <c r="B13" s="37"/>
      <c r="C13" s="37"/>
      <c r="D13" s="37"/>
      <c r="E13" s="7">
        <f>E11+E12</f>
        <v>117320.07397625213</v>
      </c>
    </row>
    <row r="17" spans="1:3" x14ac:dyDescent="0.25">
      <c r="A17" s="33" t="s">
        <v>108</v>
      </c>
      <c r="B17" s="1">
        <v>8</v>
      </c>
      <c r="C17" s="5">
        <f>SUMIF($J$6:$J$10,B17,$E$6:$E$10)</f>
        <v>111311.86057955874</v>
      </c>
    </row>
    <row r="18" spans="1:3" x14ac:dyDescent="0.25">
      <c r="A18" s="33"/>
      <c r="B18" s="1">
        <v>12</v>
      </c>
      <c r="C18" s="5">
        <f>SUMIF($J$6:$J$10,B18,$E$6:$E$10)</f>
        <v>4274.4192000000003</v>
      </c>
    </row>
    <row r="19" spans="1:3" x14ac:dyDescent="0.25">
      <c r="A19" s="33"/>
      <c r="B19" s="1" t="s">
        <v>101</v>
      </c>
      <c r="C19" s="5">
        <f>SUM(C17:C18)</f>
        <v>115586.27977955874</v>
      </c>
    </row>
    <row r="20" spans="1:3" x14ac:dyDescent="0.25">
      <c r="A20" s="1" t="s">
        <v>18</v>
      </c>
      <c r="B20" s="1" t="s">
        <v>102</v>
      </c>
      <c r="C20" s="25">
        <f>SUM(N6:N10)</f>
        <v>3635.7157127248006</v>
      </c>
    </row>
  </sheetData>
  <mergeCells count="5">
    <mergeCell ref="A11:D11"/>
    <mergeCell ref="A12:D12"/>
    <mergeCell ref="A13:D13"/>
    <mergeCell ref="A17:A19"/>
    <mergeCell ref="M5:N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218D-5A88-43A7-B6AF-B5F89108DC3C}">
  <dimension ref="A1:N118"/>
  <sheetViews>
    <sheetView topLeftCell="A70" workbookViewId="0">
      <selection activeCell="B117" sqref="B117"/>
    </sheetView>
  </sheetViews>
  <sheetFormatPr defaultColWidth="13.21875" defaultRowHeight="13.8" x14ac:dyDescent="0.25"/>
  <cols>
    <col min="1" max="1" width="13.21875" style="1"/>
    <col min="2" max="2" width="31.44140625" style="1" customWidth="1"/>
    <col min="3" max="16384" width="13.21875" style="1"/>
  </cols>
  <sheetData>
    <row r="1" spans="1:8" x14ac:dyDescent="0.25">
      <c r="A1" s="1" t="s">
        <v>137</v>
      </c>
      <c r="B1" s="1" t="s">
        <v>139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138</v>
      </c>
    </row>
    <row r="2" spans="1:8" x14ac:dyDescent="0.25">
      <c r="A2" s="1" t="s">
        <v>140</v>
      </c>
      <c r="B2" s="1">
        <v>32.4</v>
      </c>
      <c r="C2" s="1">
        <v>1496.6</v>
      </c>
      <c r="D2" s="1">
        <v>2371.4</v>
      </c>
      <c r="E2" s="1">
        <v>2811.9</v>
      </c>
      <c r="F2" s="1">
        <v>2807.4</v>
      </c>
      <c r="G2" s="1">
        <v>2804.2</v>
      </c>
      <c r="H2" s="1">
        <f>INT(D2/300)+1</f>
        <v>8</v>
      </c>
    </row>
    <row r="3" spans="1:8" x14ac:dyDescent="0.25">
      <c r="A3" s="1" t="s">
        <v>141</v>
      </c>
      <c r="B3" s="1">
        <v>31.6</v>
      </c>
      <c r="C3" s="1">
        <v>2377.3000000000002</v>
      </c>
      <c r="D3" s="1">
        <v>1461.7</v>
      </c>
      <c r="E3" s="1">
        <v>2796</v>
      </c>
      <c r="F3" s="1">
        <v>2793</v>
      </c>
      <c r="G3" s="1">
        <v>2790.8</v>
      </c>
      <c r="H3" s="1">
        <f t="shared" ref="H3:H66" si="0">INT(D3/300)+1</f>
        <v>5</v>
      </c>
    </row>
    <row r="4" spans="1:8" x14ac:dyDescent="0.25">
      <c r="A4" s="1" t="s">
        <v>142</v>
      </c>
      <c r="B4" s="1">
        <v>31</v>
      </c>
      <c r="C4" s="1">
        <v>2371.6</v>
      </c>
      <c r="D4" s="1">
        <v>1419.5</v>
      </c>
      <c r="E4" s="1">
        <v>2771.9</v>
      </c>
      <c r="F4" s="1">
        <v>2374.5</v>
      </c>
      <c r="G4" s="1">
        <v>2764</v>
      </c>
      <c r="H4" s="1">
        <f t="shared" si="0"/>
        <v>5</v>
      </c>
    </row>
    <row r="5" spans="1:8" x14ac:dyDescent="0.25">
      <c r="A5" s="1" t="s">
        <v>143</v>
      </c>
      <c r="B5" s="1">
        <v>30.4</v>
      </c>
      <c r="C5" s="1">
        <v>2672.5</v>
      </c>
      <c r="D5" s="1">
        <v>1552.2</v>
      </c>
      <c r="E5" s="1">
        <v>2677.1</v>
      </c>
      <c r="F5" s="1">
        <v>2674.4</v>
      </c>
      <c r="G5" s="1">
        <v>3090.6</v>
      </c>
      <c r="H5" s="1">
        <f t="shared" si="0"/>
        <v>6</v>
      </c>
    </row>
    <row r="6" spans="1:8" x14ac:dyDescent="0.25">
      <c r="A6" s="1" t="s">
        <v>144</v>
      </c>
      <c r="B6" s="1">
        <v>29.8</v>
      </c>
      <c r="C6" s="1">
        <v>552.4</v>
      </c>
      <c r="D6" s="1">
        <v>314.39999999999998</v>
      </c>
      <c r="E6" s="1">
        <v>929</v>
      </c>
      <c r="F6" s="1">
        <v>759</v>
      </c>
      <c r="G6" s="1">
        <v>635.6</v>
      </c>
      <c r="H6" s="1">
        <f t="shared" si="0"/>
        <v>2</v>
      </c>
    </row>
    <row r="7" spans="1:8" x14ac:dyDescent="0.25">
      <c r="A7" s="1" t="s">
        <v>145</v>
      </c>
      <c r="B7" s="1">
        <v>29.5</v>
      </c>
      <c r="C7" s="1">
        <v>1819.5</v>
      </c>
      <c r="D7" s="1">
        <v>1021.9</v>
      </c>
      <c r="E7" s="1">
        <v>1801.5</v>
      </c>
      <c r="F7" s="1">
        <v>1966.1</v>
      </c>
      <c r="G7" s="1">
        <v>2086.8000000000002</v>
      </c>
      <c r="H7" s="1">
        <f t="shared" si="0"/>
        <v>4</v>
      </c>
    </row>
    <row r="8" spans="1:8" x14ac:dyDescent="0.25">
      <c r="A8" s="1" t="s">
        <v>146</v>
      </c>
      <c r="B8" s="1">
        <v>28.9</v>
      </c>
      <c r="C8" s="1">
        <v>2178.8000000000002</v>
      </c>
      <c r="D8" s="1">
        <v>1192.9000000000001</v>
      </c>
      <c r="E8" s="1">
        <v>2489.5</v>
      </c>
      <c r="F8" s="1">
        <v>2486.3000000000002</v>
      </c>
      <c r="G8" s="1">
        <v>2484</v>
      </c>
      <c r="H8" s="1">
        <f t="shared" si="0"/>
        <v>4</v>
      </c>
    </row>
    <row r="9" spans="1:8" x14ac:dyDescent="0.25">
      <c r="A9" s="1" t="s">
        <v>147</v>
      </c>
      <c r="B9" s="1">
        <v>28.3</v>
      </c>
      <c r="C9" s="1">
        <v>2182.9</v>
      </c>
      <c r="D9" s="1">
        <v>1162.4000000000001</v>
      </c>
      <c r="E9" s="1">
        <v>2478.6999999999998</v>
      </c>
      <c r="F9" s="1">
        <v>2475.5</v>
      </c>
      <c r="G9" s="1">
        <v>2473.1999999999998</v>
      </c>
      <c r="H9" s="1">
        <f t="shared" si="0"/>
        <v>4</v>
      </c>
    </row>
    <row r="10" spans="1:8" x14ac:dyDescent="0.25">
      <c r="A10" s="1" t="s">
        <v>148</v>
      </c>
      <c r="B10" s="1">
        <v>27.7</v>
      </c>
      <c r="C10" s="1">
        <v>1127.8</v>
      </c>
      <c r="D10" s="1">
        <v>2179.1999999999998</v>
      </c>
      <c r="E10" s="1">
        <v>2459.4</v>
      </c>
      <c r="F10" s="1">
        <v>2456.1</v>
      </c>
      <c r="G10" s="1">
        <v>2453.6999999999998</v>
      </c>
      <c r="H10" s="1">
        <f t="shared" si="0"/>
        <v>8</v>
      </c>
    </row>
    <row r="11" spans="1:8" x14ac:dyDescent="0.25">
      <c r="A11" s="1" t="s">
        <v>149</v>
      </c>
      <c r="B11" s="1">
        <v>26.8</v>
      </c>
      <c r="C11" s="1">
        <v>326.3</v>
      </c>
      <c r="D11" s="1">
        <v>643.4</v>
      </c>
      <c r="E11" s="1">
        <v>982</v>
      </c>
      <c r="F11" s="1">
        <v>832</v>
      </c>
      <c r="G11" s="1">
        <v>721.4</v>
      </c>
      <c r="H11" s="1">
        <f t="shared" si="0"/>
        <v>3</v>
      </c>
    </row>
    <row r="12" spans="1:8" x14ac:dyDescent="0.25">
      <c r="A12" s="1" t="s">
        <v>150</v>
      </c>
      <c r="B12" s="1">
        <v>26.8</v>
      </c>
      <c r="C12" s="1">
        <v>1741.3</v>
      </c>
      <c r="D12" s="1">
        <v>869.8</v>
      </c>
      <c r="E12" s="1">
        <v>1680</v>
      </c>
      <c r="F12" s="1">
        <v>1825.9</v>
      </c>
      <c r="G12" s="1">
        <v>2303.6999999999998</v>
      </c>
      <c r="H12" s="1">
        <f t="shared" si="0"/>
        <v>3</v>
      </c>
    </row>
    <row r="13" spans="1:8" ht="15.75" customHeight="1" x14ac:dyDescent="0.25">
      <c r="A13" s="1" t="s">
        <v>151</v>
      </c>
      <c r="B13" s="1">
        <v>26.2</v>
      </c>
      <c r="C13" s="1">
        <v>1270.9000000000001</v>
      </c>
      <c r="D13" s="1">
        <v>621.20000000000005</v>
      </c>
      <c r="E13" s="1">
        <v>2531</v>
      </c>
      <c r="F13" s="1">
        <v>2408.4</v>
      </c>
      <c r="G13" s="1">
        <v>2176.1</v>
      </c>
      <c r="H13" s="1">
        <f t="shared" si="0"/>
        <v>3</v>
      </c>
    </row>
    <row r="14" spans="1:8" x14ac:dyDescent="0.25">
      <c r="A14" s="1" t="s">
        <v>152</v>
      </c>
      <c r="B14" s="1">
        <v>25.5</v>
      </c>
      <c r="C14" s="1">
        <v>1170.5999999999999</v>
      </c>
      <c r="D14" s="1">
        <v>2487.6999999999998</v>
      </c>
      <c r="E14" s="1">
        <v>2511</v>
      </c>
      <c r="F14" s="1">
        <v>2648.5</v>
      </c>
      <c r="G14" s="1">
        <v>1900.6</v>
      </c>
      <c r="H14" s="1">
        <f t="shared" si="0"/>
        <v>9</v>
      </c>
    </row>
    <row r="15" spans="1:8" x14ac:dyDescent="0.25">
      <c r="A15" s="1" t="s">
        <v>153</v>
      </c>
      <c r="B15" s="1">
        <v>24.6</v>
      </c>
      <c r="C15" s="1">
        <v>901.2</v>
      </c>
      <c r="D15" s="1">
        <v>1080.7</v>
      </c>
      <c r="E15" s="1">
        <v>2133</v>
      </c>
      <c r="F15" s="1">
        <v>2178.6</v>
      </c>
      <c r="G15" s="1">
        <v>2260</v>
      </c>
      <c r="H15" s="1">
        <f t="shared" si="0"/>
        <v>4</v>
      </c>
    </row>
    <row r="16" spans="1:8" x14ac:dyDescent="0.25">
      <c r="A16" s="1" t="s">
        <v>154</v>
      </c>
      <c r="B16" s="1">
        <v>23.9</v>
      </c>
      <c r="C16" s="1">
        <v>325.7</v>
      </c>
      <c r="D16" s="1">
        <v>731.6</v>
      </c>
      <c r="E16" s="1">
        <v>1030.2</v>
      </c>
      <c r="F16" s="1">
        <v>897.9</v>
      </c>
      <c r="G16" s="1">
        <v>2356.1</v>
      </c>
      <c r="H16" s="1">
        <f t="shared" si="0"/>
        <v>3</v>
      </c>
    </row>
    <row r="17" spans="1:8" x14ac:dyDescent="0.25">
      <c r="A17" s="1" t="s">
        <v>155</v>
      </c>
      <c r="B17" s="1">
        <v>23.9</v>
      </c>
      <c r="C17" s="1">
        <v>761.2</v>
      </c>
      <c r="D17" s="1">
        <v>1741.5</v>
      </c>
      <c r="E17" s="1">
        <v>1680.2</v>
      </c>
      <c r="F17" s="1">
        <v>2706</v>
      </c>
      <c r="G17" s="1">
        <v>2344.1999999999998</v>
      </c>
      <c r="H17" s="1">
        <f t="shared" si="0"/>
        <v>6</v>
      </c>
    </row>
    <row r="18" spans="1:8" x14ac:dyDescent="0.25">
      <c r="A18" s="1" t="s">
        <v>156</v>
      </c>
      <c r="B18" s="1">
        <v>23.3</v>
      </c>
      <c r="C18" s="1">
        <v>881.8</v>
      </c>
      <c r="D18" s="1">
        <v>2080.8000000000002</v>
      </c>
      <c r="E18" s="1">
        <v>2913.6</v>
      </c>
      <c r="F18" s="1">
        <v>2262.5</v>
      </c>
      <c r="G18" s="1">
        <v>1664.8</v>
      </c>
      <c r="H18" s="1">
        <f t="shared" si="0"/>
        <v>7</v>
      </c>
    </row>
    <row r="19" spans="1:8" x14ac:dyDescent="0.25">
      <c r="A19" s="1" t="s">
        <v>157</v>
      </c>
      <c r="B19" s="1">
        <v>22.6</v>
      </c>
      <c r="C19" s="1">
        <v>892.1</v>
      </c>
      <c r="D19" s="1">
        <v>2180.6999999999998</v>
      </c>
      <c r="E19" s="1">
        <v>2362.1999999999998</v>
      </c>
      <c r="F19" s="1">
        <v>2358.6999999999998</v>
      </c>
      <c r="G19" s="1">
        <v>2320.4</v>
      </c>
      <c r="H19" s="1">
        <f t="shared" si="0"/>
        <v>8</v>
      </c>
    </row>
    <row r="20" spans="1:8" x14ac:dyDescent="0.25">
      <c r="A20" s="1" t="s">
        <v>158</v>
      </c>
      <c r="B20" s="1">
        <v>21.9</v>
      </c>
      <c r="C20" s="1">
        <v>859.6</v>
      </c>
      <c r="D20" s="1">
        <v>2180.9</v>
      </c>
      <c r="E20" s="1">
        <v>2350.4</v>
      </c>
      <c r="F20" s="1">
        <v>2346.8000000000002</v>
      </c>
      <c r="G20" s="1">
        <v>2305.4</v>
      </c>
      <c r="H20" s="1">
        <f t="shared" si="0"/>
        <v>8</v>
      </c>
    </row>
    <row r="21" spans="1:8" x14ac:dyDescent="0.25">
      <c r="A21" s="1" t="s">
        <v>159</v>
      </c>
      <c r="B21" s="1">
        <v>20.9</v>
      </c>
      <c r="C21" s="1">
        <v>312.8</v>
      </c>
      <c r="D21" s="1">
        <v>816.1</v>
      </c>
      <c r="E21" s="1">
        <v>1071.3</v>
      </c>
      <c r="F21" s="1">
        <v>957.5</v>
      </c>
      <c r="G21" s="1">
        <v>874</v>
      </c>
      <c r="H21" s="1">
        <f t="shared" si="0"/>
        <v>3</v>
      </c>
    </row>
    <row r="22" spans="1:8" x14ac:dyDescent="0.25">
      <c r="A22" s="1" t="s">
        <v>160</v>
      </c>
      <c r="B22" s="1">
        <v>20.5</v>
      </c>
      <c r="C22" s="1">
        <v>585.29999999999995</v>
      </c>
      <c r="D22" s="1">
        <v>1558.5</v>
      </c>
      <c r="E22" s="1">
        <v>1476.9</v>
      </c>
      <c r="F22" s="1">
        <v>1586</v>
      </c>
      <c r="G22" s="1">
        <v>1664.8</v>
      </c>
      <c r="H22" s="1">
        <f t="shared" si="0"/>
        <v>6</v>
      </c>
    </row>
    <row r="23" spans="1:8" x14ac:dyDescent="0.25">
      <c r="A23" s="1" t="s">
        <v>161</v>
      </c>
      <c r="B23" s="1">
        <v>20.2</v>
      </c>
      <c r="C23" s="1">
        <v>790.5</v>
      </c>
      <c r="D23" s="1">
        <v>2181.5</v>
      </c>
      <c r="E23" s="1">
        <v>2326.4</v>
      </c>
      <c r="F23" s="1">
        <v>2323</v>
      </c>
      <c r="G23" s="1">
        <v>2320.4</v>
      </c>
      <c r="H23" s="1">
        <f t="shared" si="0"/>
        <v>8</v>
      </c>
    </row>
    <row r="24" spans="1:8" x14ac:dyDescent="0.25">
      <c r="A24" s="1" t="s">
        <v>162</v>
      </c>
      <c r="B24" s="1">
        <v>19.5</v>
      </c>
      <c r="C24" s="1">
        <v>756.6</v>
      </c>
      <c r="D24" s="1">
        <v>2177.6999999999998</v>
      </c>
      <c r="E24" s="1">
        <v>2311.8000000000002</v>
      </c>
      <c r="F24" s="1">
        <v>2308</v>
      </c>
      <c r="G24" s="1">
        <v>2305.4</v>
      </c>
      <c r="H24" s="1">
        <f t="shared" si="0"/>
        <v>8</v>
      </c>
    </row>
    <row r="25" spans="1:8" x14ac:dyDescent="0.25">
      <c r="A25" s="1" t="s">
        <v>163</v>
      </c>
      <c r="B25" s="1">
        <v>18.8</v>
      </c>
      <c r="C25" s="1">
        <v>725.6</v>
      </c>
      <c r="D25" s="1">
        <v>2182.1</v>
      </c>
      <c r="E25" s="1">
        <v>2306</v>
      </c>
      <c r="F25" s="1">
        <v>2302.3000000000002</v>
      </c>
      <c r="G25" s="1">
        <v>2299.6</v>
      </c>
      <c r="H25" s="1">
        <f t="shared" si="0"/>
        <v>8</v>
      </c>
    </row>
    <row r="26" spans="1:8" x14ac:dyDescent="0.25">
      <c r="A26" s="1" t="s">
        <v>164</v>
      </c>
      <c r="B26" s="1">
        <v>17.7</v>
      </c>
      <c r="C26" s="1">
        <v>288.10000000000002</v>
      </c>
      <c r="D26" s="1">
        <v>896</v>
      </c>
      <c r="E26" s="1">
        <v>1106.5</v>
      </c>
      <c r="F26" s="1">
        <v>1011.1</v>
      </c>
      <c r="G26" s="1">
        <v>941.2</v>
      </c>
      <c r="H26" s="1">
        <f t="shared" si="0"/>
        <v>3</v>
      </c>
    </row>
    <row r="27" spans="1:8" x14ac:dyDescent="0.25">
      <c r="A27" s="1" t="s">
        <v>165</v>
      </c>
      <c r="B27" s="1">
        <v>17.399999999999999</v>
      </c>
      <c r="C27" s="1">
        <v>464.2</v>
      </c>
      <c r="D27" s="1">
        <v>1480</v>
      </c>
      <c r="E27" s="1">
        <v>1395.5</v>
      </c>
      <c r="F27" s="1">
        <v>1485.3</v>
      </c>
      <c r="G27" s="1">
        <v>1551.1</v>
      </c>
      <c r="H27" s="1">
        <f t="shared" si="0"/>
        <v>5</v>
      </c>
    </row>
    <row r="28" spans="1:8" x14ac:dyDescent="0.25">
      <c r="A28" s="1" t="s">
        <v>166</v>
      </c>
      <c r="B28" s="1">
        <v>17</v>
      </c>
      <c r="C28" s="1">
        <v>656.5</v>
      </c>
      <c r="D28" s="1">
        <v>2182.8000000000002</v>
      </c>
      <c r="E28" s="1">
        <v>2286</v>
      </c>
      <c r="F28" s="1">
        <v>2282</v>
      </c>
      <c r="G28" s="1">
        <v>2279.4</v>
      </c>
      <c r="H28" s="1">
        <f t="shared" si="0"/>
        <v>8</v>
      </c>
    </row>
    <row r="29" spans="1:8" x14ac:dyDescent="0.25">
      <c r="A29" s="1" t="s">
        <v>167</v>
      </c>
      <c r="B29" s="1">
        <v>16.3</v>
      </c>
      <c r="C29" s="1">
        <v>625.20000000000005</v>
      </c>
      <c r="D29" s="1">
        <v>2187.4</v>
      </c>
      <c r="E29" s="1">
        <v>2281.5</v>
      </c>
      <c r="F29" s="1">
        <v>2277.8000000000002</v>
      </c>
      <c r="G29" s="1">
        <v>2275</v>
      </c>
      <c r="H29" s="1">
        <f t="shared" si="0"/>
        <v>8</v>
      </c>
    </row>
    <row r="30" spans="1:8" x14ac:dyDescent="0.25">
      <c r="A30" s="1" t="s">
        <v>168</v>
      </c>
      <c r="B30" s="1">
        <v>15.6</v>
      </c>
      <c r="C30" s="1">
        <v>591.4</v>
      </c>
      <c r="D30" s="1">
        <v>2183.5</v>
      </c>
      <c r="E30" s="1">
        <v>2268.9</v>
      </c>
      <c r="F30" s="1">
        <v>2265</v>
      </c>
      <c r="G30" s="1">
        <v>2262.1999999999998</v>
      </c>
      <c r="H30" s="1">
        <f t="shared" si="0"/>
        <v>8</v>
      </c>
    </row>
    <row r="31" spans="1:8" x14ac:dyDescent="0.25">
      <c r="A31" s="1" t="s">
        <v>169</v>
      </c>
      <c r="B31" s="1">
        <v>14.5</v>
      </c>
      <c r="C31" s="1">
        <v>252</v>
      </c>
      <c r="D31" s="1">
        <v>970.4</v>
      </c>
      <c r="E31" s="1">
        <v>1136</v>
      </c>
      <c r="F31" s="1">
        <v>1059</v>
      </c>
      <c r="G31" s="1">
        <v>1002.6</v>
      </c>
      <c r="H31" s="1">
        <f t="shared" si="0"/>
        <v>4</v>
      </c>
    </row>
    <row r="32" spans="1:8" x14ac:dyDescent="0.25">
      <c r="A32" s="1" t="s">
        <v>170</v>
      </c>
      <c r="B32" s="1">
        <v>14.1</v>
      </c>
      <c r="C32" s="1">
        <v>354.2</v>
      </c>
      <c r="D32" s="1">
        <v>1407.5</v>
      </c>
      <c r="E32" s="1">
        <v>1328</v>
      </c>
      <c r="F32" s="1">
        <v>1399</v>
      </c>
      <c r="G32" s="1">
        <v>1451.3</v>
      </c>
      <c r="H32" s="1">
        <f t="shared" si="0"/>
        <v>5</v>
      </c>
    </row>
    <row r="33" spans="1:8" x14ac:dyDescent="0.25">
      <c r="A33" s="1" t="s">
        <v>171</v>
      </c>
      <c r="B33" s="1">
        <v>13.8</v>
      </c>
      <c r="C33" s="1">
        <v>568.4</v>
      </c>
      <c r="D33" s="1">
        <v>2384</v>
      </c>
      <c r="E33" s="1">
        <v>2457.6</v>
      </c>
      <c r="F33" s="1">
        <v>2453.6999999999998</v>
      </c>
      <c r="G33" s="1">
        <v>2450.9</v>
      </c>
      <c r="H33" s="1">
        <f t="shared" si="0"/>
        <v>8</v>
      </c>
    </row>
    <row r="34" spans="1:8" x14ac:dyDescent="0.25">
      <c r="A34" s="1" t="s">
        <v>172</v>
      </c>
      <c r="B34" s="1">
        <v>12.6</v>
      </c>
      <c r="C34" s="1">
        <v>529.1</v>
      </c>
      <c r="D34" s="1">
        <v>2378.3000000000002</v>
      </c>
      <c r="E34" s="1">
        <v>2450</v>
      </c>
      <c r="F34" s="1">
        <v>2445.6</v>
      </c>
      <c r="G34" s="1">
        <v>2442.6999999999998</v>
      </c>
      <c r="H34" s="1">
        <f t="shared" si="0"/>
        <v>8</v>
      </c>
    </row>
    <row r="35" spans="1:8" x14ac:dyDescent="0.25">
      <c r="A35" s="1" t="s">
        <v>173</v>
      </c>
      <c r="B35" s="1">
        <v>11.9</v>
      </c>
      <c r="C35" s="1">
        <v>411.2</v>
      </c>
      <c r="D35" s="1">
        <v>1985.6</v>
      </c>
      <c r="E35" s="1">
        <v>2034.5</v>
      </c>
      <c r="F35" s="1">
        <v>2030.6</v>
      </c>
      <c r="G35" s="1">
        <v>2027.7</v>
      </c>
      <c r="H35" s="1">
        <f t="shared" si="0"/>
        <v>7</v>
      </c>
    </row>
    <row r="36" spans="1:8" x14ac:dyDescent="0.25">
      <c r="A36" s="1" t="s">
        <v>174</v>
      </c>
      <c r="B36" s="1">
        <v>11.1</v>
      </c>
      <c r="C36" s="1">
        <v>165</v>
      </c>
      <c r="D36" s="1">
        <v>838.5</v>
      </c>
      <c r="E36" s="1">
        <v>1071.4000000000001</v>
      </c>
      <c r="F36" s="1">
        <v>897.5</v>
      </c>
      <c r="G36" s="1">
        <v>854.6</v>
      </c>
      <c r="H36" s="1">
        <f t="shared" si="0"/>
        <v>3</v>
      </c>
    </row>
    <row r="37" spans="1:8" x14ac:dyDescent="0.25">
      <c r="A37" s="1" t="s">
        <v>175</v>
      </c>
      <c r="B37" s="1">
        <v>10.8</v>
      </c>
      <c r="C37" s="1">
        <v>236.2</v>
      </c>
      <c r="D37" s="1">
        <v>1241.8</v>
      </c>
      <c r="E37" s="1">
        <v>1173</v>
      </c>
      <c r="F37" s="1">
        <v>1225.5999999999999</v>
      </c>
      <c r="G37" s="1">
        <v>1264.0999999999999</v>
      </c>
      <c r="H37" s="1">
        <f t="shared" si="0"/>
        <v>5</v>
      </c>
    </row>
    <row r="38" spans="1:8" x14ac:dyDescent="0.25">
      <c r="A38" s="1" t="s">
        <v>176</v>
      </c>
      <c r="B38" s="1">
        <v>10.4</v>
      </c>
      <c r="C38" s="1">
        <v>397.9</v>
      </c>
      <c r="D38" s="1">
        <v>2236</v>
      </c>
      <c r="E38" s="1">
        <v>2278</v>
      </c>
      <c r="F38" s="1">
        <v>2274</v>
      </c>
      <c r="G38" s="1">
        <v>2271.1999999999998</v>
      </c>
      <c r="H38" s="1">
        <f t="shared" si="0"/>
        <v>8</v>
      </c>
    </row>
    <row r="39" spans="1:8" x14ac:dyDescent="0.25">
      <c r="A39" s="1" t="s">
        <v>177</v>
      </c>
      <c r="B39" s="1">
        <v>9.6</v>
      </c>
      <c r="C39" s="1">
        <v>371.8</v>
      </c>
      <c r="D39" s="1">
        <v>2286.4</v>
      </c>
      <c r="E39" s="1">
        <v>2323.4</v>
      </c>
      <c r="F39" s="1">
        <v>2319.4</v>
      </c>
      <c r="G39" s="1">
        <v>2316.5</v>
      </c>
      <c r="H39" s="1">
        <f t="shared" si="0"/>
        <v>8</v>
      </c>
    </row>
    <row r="40" spans="1:8" x14ac:dyDescent="0.25">
      <c r="A40" s="1" t="s">
        <v>178</v>
      </c>
      <c r="B40" s="1">
        <v>8.5</v>
      </c>
      <c r="C40" s="1">
        <v>329.4</v>
      </c>
      <c r="D40" s="1">
        <v>2237</v>
      </c>
      <c r="E40" s="1">
        <v>2268</v>
      </c>
      <c r="F40" s="1">
        <v>2264</v>
      </c>
      <c r="G40" s="1">
        <v>2261.1</v>
      </c>
      <c r="H40" s="1">
        <f t="shared" si="0"/>
        <v>8</v>
      </c>
    </row>
    <row r="41" spans="1:8" x14ac:dyDescent="0.25">
      <c r="A41" s="1" t="s">
        <v>179</v>
      </c>
      <c r="B41" s="1">
        <v>7.7</v>
      </c>
      <c r="C41" s="1">
        <v>135.69999999999999</v>
      </c>
      <c r="D41" s="1">
        <v>998.7</v>
      </c>
      <c r="E41" s="1">
        <v>1077</v>
      </c>
      <c r="F41" s="1">
        <v>1037.2</v>
      </c>
      <c r="G41" s="1">
        <v>979.7</v>
      </c>
      <c r="H41" s="1">
        <f t="shared" si="0"/>
        <v>4</v>
      </c>
    </row>
    <row r="42" spans="1:8" x14ac:dyDescent="0.25">
      <c r="A42" s="1" t="s">
        <v>180</v>
      </c>
      <c r="B42" s="1">
        <v>7.3</v>
      </c>
      <c r="C42" s="1">
        <v>152</v>
      </c>
      <c r="D42" s="1">
        <v>1283.5999999999999</v>
      </c>
      <c r="E42" s="1">
        <v>1235.3</v>
      </c>
      <c r="F42" s="1">
        <v>1269.2</v>
      </c>
      <c r="G42" s="1">
        <v>1322.3</v>
      </c>
      <c r="H42" s="1">
        <f t="shared" si="0"/>
        <v>5</v>
      </c>
    </row>
    <row r="43" spans="1:8" x14ac:dyDescent="0.25">
      <c r="A43" s="1" t="s">
        <v>181</v>
      </c>
      <c r="B43" s="1">
        <v>6.9</v>
      </c>
      <c r="C43" s="1">
        <v>275.3</v>
      </c>
      <c r="D43" s="1">
        <v>2387.9</v>
      </c>
      <c r="E43" s="1">
        <v>2410.6999999999998</v>
      </c>
      <c r="F43" s="1">
        <v>2406.6999999999998</v>
      </c>
      <c r="G43" s="1">
        <v>2403.6999999999998</v>
      </c>
      <c r="H43" s="1">
        <f t="shared" si="0"/>
        <v>8</v>
      </c>
    </row>
    <row r="44" spans="1:8" x14ac:dyDescent="0.25">
      <c r="A44" s="1" t="s">
        <v>182</v>
      </c>
      <c r="B44" s="1">
        <v>5.8</v>
      </c>
      <c r="C44" s="1">
        <v>209</v>
      </c>
      <c r="D44" s="1">
        <v>2088.6</v>
      </c>
      <c r="E44" s="1">
        <v>2106</v>
      </c>
      <c r="F44" s="1">
        <v>2102</v>
      </c>
      <c r="G44" s="1">
        <v>2099</v>
      </c>
      <c r="H44" s="1">
        <f t="shared" si="0"/>
        <v>7</v>
      </c>
    </row>
    <row r="45" spans="1:8" x14ac:dyDescent="0.25">
      <c r="A45" s="1" t="s">
        <v>183</v>
      </c>
      <c r="B45" s="1">
        <v>5</v>
      </c>
      <c r="C45" s="1">
        <v>177.2</v>
      </c>
      <c r="D45" s="1">
        <v>2089.3000000000002</v>
      </c>
      <c r="E45" s="1">
        <v>2103.8000000000002</v>
      </c>
      <c r="F45" s="1">
        <v>2100</v>
      </c>
      <c r="G45" s="1">
        <v>2096.8000000000002</v>
      </c>
      <c r="H45" s="1">
        <f t="shared" si="0"/>
        <v>7</v>
      </c>
    </row>
    <row r="46" spans="1:8" x14ac:dyDescent="0.25">
      <c r="A46" s="1" t="s">
        <v>184</v>
      </c>
      <c r="B46" s="1">
        <v>4.2</v>
      </c>
      <c r="C46" s="1">
        <v>86.2</v>
      </c>
      <c r="D46" s="1">
        <v>1150.7</v>
      </c>
      <c r="E46" s="1">
        <v>1192.9000000000001</v>
      </c>
      <c r="F46" s="1">
        <v>1169.7</v>
      </c>
      <c r="G46" s="1">
        <v>1153.9000000000001</v>
      </c>
      <c r="H46" s="1">
        <f t="shared" si="0"/>
        <v>4</v>
      </c>
    </row>
    <row r="47" spans="1:8" x14ac:dyDescent="0.25">
      <c r="A47" s="1" t="s">
        <v>185</v>
      </c>
      <c r="B47" s="1">
        <v>3.8</v>
      </c>
      <c r="C47" s="1">
        <v>81.400000000000006</v>
      </c>
      <c r="D47" s="1">
        <v>1234.2</v>
      </c>
      <c r="E47" s="1">
        <v>1208.5</v>
      </c>
      <c r="F47" s="1">
        <v>1225.5999999999999</v>
      </c>
      <c r="G47" s="1">
        <v>1236.9000000000001</v>
      </c>
      <c r="H47" s="1">
        <f t="shared" si="0"/>
        <v>5</v>
      </c>
    </row>
    <row r="48" spans="1:8" x14ac:dyDescent="0.25">
      <c r="A48" s="1" t="s">
        <v>186</v>
      </c>
      <c r="B48" s="1">
        <v>3.4</v>
      </c>
      <c r="C48" s="1">
        <v>119.2</v>
      </c>
      <c r="D48" s="1">
        <v>2190.1999999999998</v>
      </c>
      <c r="E48" s="1">
        <v>2200.5</v>
      </c>
      <c r="F48" s="1">
        <v>2196.4</v>
      </c>
      <c r="G48" s="1">
        <v>2193.4</v>
      </c>
      <c r="H48" s="1">
        <f t="shared" si="0"/>
        <v>8</v>
      </c>
    </row>
    <row r="49" spans="1:8" x14ac:dyDescent="0.25">
      <c r="A49" s="1" t="s">
        <v>187</v>
      </c>
      <c r="B49" s="1">
        <v>2.7</v>
      </c>
      <c r="C49" s="1">
        <v>87</v>
      </c>
      <c r="D49" s="1">
        <v>2200.6999999999998</v>
      </c>
      <c r="E49" s="1">
        <v>2201</v>
      </c>
      <c r="F49" s="1">
        <v>2197.1999999999998</v>
      </c>
      <c r="G49" s="1">
        <v>2194.1999999999998</v>
      </c>
      <c r="H49" s="1">
        <f t="shared" si="0"/>
        <v>8</v>
      </c>
    </row>
    <row r="50" spans="1:8" x14ac:dyDescent="0.25">
      <c r="A50" s="1" t="s">
        <v>188</v>
      </c>
      <c r="B50" s="1">
        <v>1.5</v>
      </c>
      <c r="C50" s="1">
        <v>53.9</v>
      </c>
      <c r="D50" s="1">
        <v>2191.1999999999998</v>
      </c>
      <c r="E50" s="1">
        <v>2199</v>
      </c>
      <c r="F50" s="1">
        <v>2194.9</v>
      </c>
      <c r="G50" s="1">
        <v>2191.9</v>
      </c>
      <c r="H50" s="1">
        <f t="shared" si="0"/>
        <v>8</v>
      </c>
    </row>
    <row r="51" spans="1:8" x14ac:dyDescent="0.25">
      <c r="A51" s="1" t="s">
        <v>189</v>
      </c>
      <c r="B51" s="1">
        <v>0.7</v>
      </c>
      <c r="C51" s="1">
        <v>15.9</v>
      </c>
      <c r="D51" s="1">
        <v>1193.7</v>
      </c>
      <c r="E51" s="1">
        <f>1186.15*2</f>
        <v>2372.3000000000002</v>
      </c>
      <c r="F51" s="1">
        <f>1186*2</f>
        <v>2372</v>
      </c>
      <c r="G51" s="1">
        <f>1187.2*2</f>
        <v>2374.4</v>
      </c>
      <c r="H51" s="1">
        <f t="shared" si="0"/>
        <v>4</v>
      </c>
    </row>
    <row r="53" spans="1:8" x14ac:dyDescent="0.25">
      <c r="A53" s="1" t="s">
        <v>196</v>
      </c>
      <c r="B53" s="1">
        <v>23.3</v>
      </c>
      <c r="C53" s="1">
        <v>614.5</v>
      </c>
      <c r="D53" s="1">
        <v>1250.2</v>
      </c>
      <c r="E53" s="1">
        <v>1394.7</v>
      </c>
      <c r="F53" s="1">
        <v>1393.8</v>
      </c>
      <c r="G53" s="1">
        <v>1393</v>
      </c>
      <c r="H53" s="1">
        <f t="shared" si="0"/>
        <v>5</v>
      </c>
    </row>
    <row r="54" spans="1:8" x14ac:dyDescent="0.25">
      <c r="A54" s="1" t="s">
        <v>197</v>
      </c>
      <c r="B54" s="1">
        <v>26.1</v>
      </c>
      <c r="C54" s="1">
        <v>632.29999999999995</v>
      </c>
      <c r="D54" s="1">
        <v>1299.3</v>
      </c>
      <c r="E54" s="1">
        <v>1446.6</v>
      </c>
      <c r="F54" s="1">
        <v>1445.7</v>
      </c>
      <c r="G54" s="1">
        <v>1445</v>
      </c>
      <c r="H54" s="1">
        <f t="shared" si="0"/>
        <v>5</v>
      </c>
    </row>
    <row r="55" spans="1:8" x14ac:dyDescent="0.25">
      <c r="A55" s="1" t="s">
        <v>198</v>
      </c>
      <c r="B55" s="1">
        <v>25.7</v>
      </c>
      <c r="C55" s="1">
        <v>958.7</v>
      </c>
      <c r="D55" s="1">
        <v>1998.5</v>
      </c>
      <c r="E55" s="1">
        <v>2213</v>
      </c>
      <c r="F55" s="1">
        <v>2218</v>
      </c>
      <c r="G55" s="1">
        <v>2216.5</v>
      </c>
      <c r="H55" s="1">
        <f t="shared" si="0"/>
        <v>7</v>
      </c>
    </row>
    <row r="56" spans="1:8" x14ac:dyDescent="0.25">
      <c r="A56" s="1" t="s">
        <v>199</v>
      </c>
      <c r="B56" s="1">
        <v>25.3</v>
      </c>
      <c r="C56" s="1">
        <v>942.5</v>
      </c>
      <c r="D56" s="1">
        <v>1998.5</v>
      </c>
      <c r="E56" s="1">
        <v>2213</v>
      </c>
      <c r="F56" s="1">
        <v>2211</v>
      </c>
      <c r="G56" s="1">
        <v>2209.6</v>
      </c>
      <c r="H56" s="1">
        <f t="shared" si="0"/>
        <v>7</v>
      </c>
    </row>
    <row r="57" spans="1:8" x14ac:dyDescent="0.25">
      <c r="A57" s="1" t="s">
        <v>200</v>
      </c>
      <c r="B57" s="1">
        <v>25</v>
      </c>
      <c r="C57" s="1">
        <v>695.3</v>
      </c>
      <c r="D57" s="1">
        <v>1497.7</v>
      </c>
      <c r="E57" s="1">
        <v>1654.7</v>
      </c>
      <c r="F57" s="1">
        <v>1652.7</v>
      </c>
      <c r="G57" s="1">
        <v>1651.3</v>
      </c>
      <c r="H57" s="1">
        <f t="shared" si="0"/>
        <v>5</v>
      </c>
    </row>
    <row r="58" spans="1:8" x14ac:dyDescent="0.25">
      <c r="A58" s="1" t="s">
        <v>201</v>
      </c>
      <c r="B58" s="1">
        <v>24.8</v>
      </c>
      <c r="C58" s="1">
        <v>1141</v>
      </c>
      <c r="D58" s="1">
        <v>2498.5</v>
      </c>
      <c r="E58" s="1">
        <v>2751.9</v>
      </c>
      <c r="F58" s="1">
        <v>2748.9</v>
      </c>
      <c r="G58" s="1">
        <v>2746.7</v>
      </c>
      <c r="H58" s="1">
        <f t="shared" si="0"/>
        <v>9</v>
      </c>
    </row>
    <row r="59" spans="1:8" x14ac:dyDescent="0.25">
      <c r="A59" s="1" t="s">
        <v>202</v>
      </c>
      <c r="B59" s="1">
        <v>24.2</v>
      </c>
      <c r="C59" s="1">
        <v>1114.5</v>
      </c>
      <c r="D59" s="1">
        <v>2497.6999999999998</v>
      </c>
      <c r="E59" s="1">
        <v>2738.6</v>
      </c>
      <c r="F59" s="1">
        <v>2736.6</v>
      </c>
      <c r="G59" s="1">
        <v>2735.1</v>
      </c>
      <c r="H59" s="1">
        <f t="shared" si="0"/>
        <v>9</v>
      </c>
    </row>
    <row r="60" spans="1:8" x14ac:dyDescent="0.25">
      <c r="A60" s="1" t="s">
        <v>203</v>
      </c>
      <c r="B60" s="1">
        <v>23.8</v>
      </c>
      <c r="C60" s="1">
        <v>1090.4000000000001</v>
      </c>
      <c r="D60" s="1">
        <v>2497.6999999999998</v>
      </c>
      <c r="E60" s="1">
        <v>2730.6</v>
      </c>
      <c r="F60" s="1">
        <v>2727.5</v>
      </c>
      <c r="G60" s="1">
        <v>2725.3</v>
      </c>
      <c r="H60" s="1">
        <f t="shared" si="0"/>
        <v>9</v>
      </c>
    </row>
    <row r="61" spans="1:8" x14ac:dyDescent="0.25">
      <c r="A61" s="1" t="s">
        <v>204</v>
      </c>
      <c r="B61" s="1">
        <v>23.2</v>
      </c>
      <c r="C61" s="1">
        <v>1064.5</v>
      </c>
      <c r="D61" s="1">
        <v>2498.4</v>
      </c>
      <c r="E61" s="1">
        <v>2719.8</v>
      </c>
      <c r="F61" s="1">
        <v>2717.3</v>
      </c>
      <c r="G61" s="1">
        <v>2715.8</v>
      </c>
      <c r="H61" s="1">
        <f t="shared" si="0"/>
        <v>9</v>
      </c>
    </row>
    <row r="62" spans="1:8" x14ac:dyDescent="0.25">
      <c r="A62" s="1" t="s">
        <v>205</v>
      </c>
      <c r="B62" s="1">
        <v>22.8</v>
      </c>
      <c r="C62" s="1">
        <v>1040</v>
      </c>
      <c r="D62" s="1">
        <v>2497.6</v>
      </c>
      <c r="E62" s="1">
        <v>2710.9</v>
      </c>
      <c r="F62" s="1">
        <v>2707.8</v>
      </c>
      <c r="G62" s="1">
        <v>2705.5</v>
      </c>
      <c r="H62" s="1">
        <f t="shared" si="0"/>
        <v>9</v>
      </c>
    </row>
    <row r="63" spans="1:8" x14ac:dyDescent="0.25">
      <c r="A63" s="1" t="s">
        <v>206</v>
      </c>
      <c r="B63" s="1">
        <v>22.3</v>
      </c>
      <c r="C63" s="1">
        <v>1014</v>
      </c>
      <c r="D63" s="1">
        <v>2498</v>
      </c>
      <c r="E63" s="1">
        <v>2700</v>
      </c>
      <c r="F63" s="1">
        <v>2698</v>
      </c>
      <c r="G63" s="1">
        <v>2696.4</v>
      </c>
      <c r="H63" s="1">
        <f t="shared" si="0"/>
        <v>9</v>
      </c>
    </row>
    <row r="64" spans="1:8" x14ac:dyDescent="0.25">
      <c r="A64" s="1" t="s">
        <v>207</v>
      </c>
      <c r="B64" s="1">
        <v>21.9</v>
      </c>
      <c r="C64" s="1">
        <v>990</v>
      </c>
      <c r="D64" s="1">
        <v>2498</v>
      </c>
      <c r="E64" s="1">
        <v>2691</v>
      </c>
      <c r="F64" s="1">
        <v>2688.9</v>
      </c>
      <c r="G64" s="1">
        <v>2687.4</v>
      </c>
      <c r="H64" s="1">
        <f t="shared" si="0"/>
        <v>9</v>
      </c>
    </row>
    <row r="65" spans="1:8" x14ac:dyDescent="0.25">
      <c r="A65" s="1" t="s">
        <v>208</v>
      </c>
      <c r="B65" s="1">
        <v>21.3</v>
      </c>
      <c r="C65" s="1">
        <v>963.5</v>
      </c>
      <c r="D65" s="1">
        <v>2497.5</v>
      </c>
      <c r="E65" s="1">
        <v>2682.4</v>
      </c>
      <c r="F65" s="1">
        <v>2679.3</v>
      </c>
      <c r="G65" s="1">
        <v>2677</v>
      </c>
      <c r="H65" s="1">
        <f t="shared" si="0"/>
        <v>9</v>
      </c>
    </row>
    <row r="66" spans="1:8" x14ac:dyDescent="0.25">
      <c r="A66" s="1" t="s">
        <v>209</v>
      </c>
      <c r="B66" s="1">
        <v>20.7</v>
      </c>
      <c r="C66" s="1">
        <v>939.6</v>
      </c>
      <c r="D66" s="1">
        <v>2498.3000000000002</v>
      </c>
      <c r="E66" s="1">
        <v>2672.8</v>
      </c>
      <c r="F66" s="1">
        <v>2670.7</v>
      </c>
      <c r="G66" s="1">
        <v>2669.2</v>
      </c>
      <c r="H66" s="1">
        <f t="shared" si="0"/>
        <v>9</v>
      </c>
    </row>
    <row r="67" spans="1:8" x14ac:dyDescent="0.25">
      <c r="A67" s="1" t="s">
        <v>210</v>
      </c>
      <c r="B67" s="1">
        <v>20.2</v>
      </c>
      <c r="C67" s="1">
        <v>434</v>
      </c>
      <c r="D67" s="1">
        <v>1178.5999999999999</v>
      </c>
      <c r="E67" s="1">
        <v>1259.5999999999999</v>
      </c>
      <c r="F67" s="1">
        <v>1257.5</v>
      </c>
      <c r="G67" s="1">
        <v>1256</v>
      </c>
      <c r="H67" s="1">
        <f t="shared" ref="H67:H90" si="1">INT(D67/300)+1</f>
        <v>4</v>
      </c>
    </row>
    <row r="68" spans="1:8" x14ac:dyDescent="0.25">
      <c r="A68" s="1" t="s">
        <v>211</v>
      </c>
      <c r="B68" s="1">
        <v>20</v>
      </c>
      <c r="C68" s="1">
        <v>359</v>
      </c>
      <c r="D68" s="1">
        <v>986.1</v>
      </c>
      <c r="E68" s="1">
        <v>1051.3</v>
      </c>
      <c r="F68" s="1">
        <v>1050.2</v>
      </c>
      <c r="G68" s="1">
        <v>1049.5</v>
      </c>
      <c r="H68" s="1">
        <f t="shared" si="1"/>
        <v>4</v>
      </c>
    </row>
    <row r="69" spans="1:8" x14ac:dyDescent="0.25">
      <c r="A69" s="1" t="s">
        <v>212</v>
      </c>
      <c r="B69" s="1">
        <v>19.8</v>
      </c>
      <c r="C69" s="1">
        <v>300.39999999999998</v>
      </c>
      <c r="D69" s="1">
        <v>832.8</v>
      </c>
      <c r="E69" s="1">
        <v>885.3</v>
      </c>
      <c r="F69" s="1">
        <v>885.3</v>
      </c>
      <c r="G69" s="1">
        <v>885.3</v>
      </c>
      <c r="H69" s="1">
        <f t="shared" si="1"/>
        <v>3</v>
      </c>
    </row>
    <row r="70" spans="1:8" x14ac:dyDescent="0.25">
      <c r="A70" s="1" t="s">
        <v>213</v>
      </c>
      <c r="B70" s="1">
        <v>19.600000000000001</v>
      </c>
      <c r="C70" s="1">
        <v>882.9</v>
      </c>
      <c r="D70" s="1">
        <v>2497.5</v>
      </c>
      <c r="E70" s="1">
        <v>2654.5</v>
      </c>
      <c r="F70" s="1">
        <v>2651.3</v>
      </c>
      <c r="G70" s="1">
        <v>2649</v>
      </c>
      <c r="H70" s="1">
        <f t="shared" si="1"/>
        <v>9</v>
      </c>
    </row>
    <row r="71" spans="1:8" x14ac:dyDescent="0.25">
      <c r="A71" s="1" t="s">
        <v>214</v>
      </c>
      <c r="B71" s="1">
        <v>19</v>
      </c>
      <c r="C71" s="1">
        <v>859</v>
      </c>
      <c r="D71" s="1">
        <v>2498.3000000000002</v>
      </c>
      <c r="E71" s="1">
        <v>2645.6</v>
      </c>
      <c r="F71" s="1">
        <v>2643.4</v>
      </c>
      <c r="G71" s="1">
        <v>2641.9</v>
      </c>
      <c r="H71" s="1">
        <f t="shared" si="1"/>
        <v>9</v>
      </c>
    </row>
    <row r="72" spans="1:8" x14ac:dyDescent="0.25">
      <c r="A72" s="1" t="s">
        <v>215</v>
      </c>
      <c r="B72" s="1">
        <v>18.600000000000001</v>
      </c>
      <c r="C72" s="1">
        <v>832.5</v>
      </c>
      <c r="D72" s="1">
        <v>2497.4</v>
      </c>
      <c r="E72" s="1">
        <v>2638.2</v>
      </c>
      <c r="F72" s="1">
        <v>2635</v>
      </c>
      <c r="G72" s="1">
        <v>2632.5</v>
      </c>
      <c r="H72" s="1">
        <f t="shared" si="1"/>
        <v>9</v>
      </c>
    </row>
    <row r="73" spans="1:8" x14ac:dyDescent="0.25">
      <c r="A73" s="1" t="s">
        <v>216</v>
      </c>
      <c r="B73" s="1">
        <v>18</v>
      </c>
      <c r="C73" s="1">
        <v>808.4</v>
      </c>
      <c r="D73" s="1">
        <v>2497.4</v>
      </c>
      <c r="E73" s="1">
        <v>2630.7</v>
      </c>
      <c r="F73" s="1">
        <v>2627.4</v>
      </c>
      <c r="G73" s="1">
        <v>2625</v>
      </c>
      <c r="H73" s="1">
        <f t="shared" si="1"/>
        <v>9</v>
      </c>
    </row>
    <row r="74" spans="1:8" x14ac:dyDescent="0.25">
      <c r="A74" s="1" t="s">
        <v>217</v>
      </c>
      <c r="B74" s="1">
        <v>17.600000000000001</v>
      </c>
      <c r="C74" s="1">
        <v>782.5</v>
      </c>
      <c r="D74" s="1">
        <v>2498.1999999999998</v>
      </c>
      <c r="E74" s="1">
        <v>2621.7</v>
      </c>
      <c r="F74" s="1">
        <v>2619.5</v>
      </c>
      <c r="G74" s="1">
        <v>2618</v>
      </c>
      <c r="H74" s="1">
        <f t="shared" si="1"/>
        <v>9</v>
      </c>
    </row>
    <row r="75" spans="1:8" x14ac:dyDescent="0.25">
      <c r="A75" s="1" t="s">
        <v>218</v>
      </c>
      <c r="B75" s="1">
        <v>17.100000000000001</v>
      </c>
      <c r="C75" s="1">
        <v>758.2</v>
      </c>
      <c r="D75" s="1">
        <v>2497.8000000000002</v>
      </c>
      <c r="E75" s="1">
        <v>2614.6</v>
      </c>
      <c r="F75" s="1">
        <v>2612.4</v>
      </c>
      <c r="G75" s="1">
        <v>2610.8000000000002</v>
      </c>
      <c r="H75" s="1">
        <f t="shared" si="1"/>
        <v>9</v>
      </c>
    </row>
    <row r="76" spans="1:8" x14ac:dyDescent="0.25">
      <c r="A76" s="1" t="s">
        <v>219</v>
      </c>
      <c r="B76" s="1">
        <v>16.5</v>
      </c>
      <c r="C76" s="1">
        <v>731.8</v>
      </c>
      <c r="D76" s="1">
        <v>2497.3000000000002</v>
      </c>
      <c r="E76" s="1">
        <v>2608.1</v>
      </c>
      <c r="F76" s="1">
        <v>2604.8000000000002</v>
      </c>
      <c r="G76" s="1">
        <v>2602.4</v>
      </c>
      <c r="H76" s="1">
        <f t="shared" si="1"/>
        <v>9</v>
      </c>
    </row>
    <row r="77" spans="1:8" x14ac:dyDescent="0.25">
      <c r="A77" s="1" t="s">
        <v>220</v>
      </c>
      <c r="B77" s="1">
        <v>15.9</v>
      </c>
      <c r="C77" s="1">
        <v>707.9</v>
      </c>
      <c r="D77" s="1">
        <v>2498.1999999999998</v>
      </c>
      <c r="E77" s="1">
        <v>2600.5</v>
      </c>
      <c r="F77" s="1">
        <v>2598.1999999999998</v>
      </c>
      <c r="G77" s="1">
        <v>2596.6</v>
      </c>
      <c r="H77" s="1">
        <f t="shared" si="1"/>
        <v>9</v>
      </c>
    </row>
    <row r="78" spans="1:8" x14ac:dyDescent="0.25">
      <c r="A78" s="1" t="s">
        <v>221</v>
      </c>
      <c r="B78" s="1">
        <v>15.4</v>
      </c>
      <c r="C78" s="1">
        <v>342.2</v>
      </c>
      <c r="D78" s="1">
        <v>1243</v>
      </c>
      <c r="E78" s="1">
        <v>1293.2</v>
      </c>
      <c r="F78" s="1">
        <v>1291</v>
      </c>
      <c r="G78" s="1">
        <v>1289.3</v>
      </c>
      <c r="H78" s="1">
        <f t="shared" si="1"/>
        <v>5</v>
      </c>
    </row>
    <row r="79" spans="1:8" x14ac:dyDescent="0.25">
      <c r="A79" s="1" t="s">
        <v>222</v>
      </c>
      <c r="B79" s="1">
        <v>15.2</v>
      </c>
      <c r="C79" s="1">
        <v>307.60000000000002</v>
      </c>
      <c r="D79" s="1">
        <v>1136.2</v>
      </c>
      <c r="E79" s="1">
        <v>1179</v>
      </c>
      <c r="F79" s="1">
        <v>1177.9000000000001</v>
      </c>
      <c r="G79" s="1">
        <v>1177.0999999999999</v>
      </c>
      <c r="H79" s="1">
        <f t="shared" si="1"/>
        <v>4</v>
      </c>
    </row>
    <row r="80" spans="1:8" x14ac:dyDescent="0.25">
      <c r="A80" s="1" t="s">
        <v>223</v>
      </c>
      <c r="B80" s="1">
        <v>15</v>
      </c>
      <c r="C80" s="1">
        <v>297.39999999999998</v>
      </c>
      <c r="D80" s="1">
        <v>1117.0999999999999</v>
      </c>
      <c r="E80" s="1">
        <v>1158</v>
      </c>
      <c r="F80" s="1">
        <v>1156.9000000000001</v>
      </c>
      <c r="G80" s="1">
        <v>1156</v>
      </c>
      <c r="H80" s="1">
        <f t="shared" si="1"/>
        <v>4</v>
      </c>
    </row>
    <row r="81" spans="1:14" x14ac:dyDescent="0.25">
      <c r="A81" s="1" t="s">
        <v>224</v>
      </c>
      <c r="B81" s="1">
        <v>14.8</v>
      </c>
      <c r="C81" s="1">
        <v>647.29999999999995</v>
      </c>
      <c r="D81" s="1">
        <v>2497.1999999999998</v>
      </c>
      <c r="E81" s="1">
        <v>2585.6999999999998</v>
      </c>
      <c r="F81" s="1">
        <v>2582.3000000000002</v>
      </c>
      <c r="G81" s="1">
        <v>2579.8000000000002</v>
      </c>
      <c r="H81" s="1">
        <f t="shared" si="1"/>
        <v>9</v>
      </c>
    </row>
    <row r="82" spans="1:14" x14ac:dyDescent="0.25">
      <c r="A82" s="1" t="s">
        <v>225</v>
      </c>
      <c r="B82" s="1">
        <v>14.1</v>
      </c>
      <c r="C82" s="1">
        <v>621.20000000000005</v>
      </c>
      <c r="D82" s="1">
        <v>2497.6999999999998</v>
      </c>
      <c r="E82" s="1">
        <v>2578.1999999999998</v>
      </c>
      <c r="F82" s="1">
        <v>2575.9</v>
      </c>
      <c r="G82" s="1">
        <v>2574.3000000000002</v>
      </c>
      <c r="H82" s="1">
        <f t="shared" si="1"/>
        <v>9</v>
      </c>
    </row>
    <row r="83" spans="1:14" x14ac:dyDescent="0.25">
      <c r="A83" s="1" t="s">
        <v>226</v>
      </c>
      <c r="B83" s="1">
        <v>13.5</v>
      </c>
      <c r="C83" s="1">
        <v>596.9</v>
      </c>
      <c r="D83" s="1">
        <v>2497.1999999999998</v>
      </c>
      <c r="E83" s="1">
        <v>2573.5</v>
      </c>
      <c r="F83" s="1">
        <v>2570</v>
      </c>
      <c r="G83" s="1">
        <v>2567.6</v>
      </c>
      <c r="H83" s="1">
        <f t="shared" si="1"/>
        <v>9</v>
      </c>
    </row>
    <row r="84" spans="1:14" x14ac:dyDescent="0.25">
      <c r="A84" s="1" t="s">
        <v>227</v>
      </c>
      <c r="B84" s="1">
        <v>13</v>
      </c>
      <c r="C84" s="1">
        <v>571</v>
      </c>
      <c r="D84" s="1">
        <v>2498.1</v>
      </c>
      <c r="E84" s="1">
        <v>2566.5</v>
      </c>
      <c r="F84" s="1">
        <v>2564.1999999999998</v>
      </c>
      <c r="G84" s="1">
        <v>2562.6</v>
      </c>
      <c r="H84" s="1">
        <f t="shared" si="1"/>
        <v>9</v>
      </c>
    </row>
    <row r="85" spans="1:14" x14ac:dyDescent="0.25">
      <c r="A85" s="1" t="s">
        <v>228</v>
      </c>
      <c r="B85" s="1">
        <v>12.4</v>
      </c>
      <c r="C85" s="1">
        <v>546.6</v>
      </c>
      <c r="D85" s="1">
        <v>2497.1999999999998</v>
      </c>
      <c r="E85" s="1">
        <v>2562.3000000000002</v>
      </c>
      <c r="F85" s="1">
        <v>2558.8000000000002</v>
      </c>
      <c r="G85" s="1">
        <v>2556.3000000000002</v>
      </c>
      <c r="H85" s="1">
        <f t="shared" si="1"/>
        <v>9</v>
      </c>
    </row>
    <row r="86" spans="1:14" x14ac:dyDescent="0.25">
      <c r="A86" s="1" t="s">
        <v>229</v>
      </c>
      <c r="B86" s="1">
        <v>11.9</v>
      </c>
      <c r="C86" s="1">
        <v>622.20000000000005</v>
      </c>
      <c r="D86" s="1">
        <v>2997.2</v>
      </c>
      <c r="E86" s="1">
        <v>3066</v>
      </c>
      <c r="F86" s="1">
        <v>3063.7</v>
      </c>
      <c r="G86" s="1">
        <v>3062</v>
      </c>
      <c r="H86" s="1">
        <f t="shared" si="1"/>
        <v>10</v>
      </c>
    </row>
    <row r="87" spans="1:14" x14ac:dyDescent="0.25">
      <c r="A87" s="1" t="s">
        <v>230</v>
      </c>
      <c r="B87" s="1">
        <v>11.3</v>
      </c>
      <c r="C87" s="1">
        <v>490.2</v>
      </c>
      <c r="D87" s="1">
        <v>2497.1</v>
      </c>
      <c r="E87" s="1">
        <v>2550.9</v>
      </c>
      <c r="F87" s="1">
        <v>2547.4</v>
      </c>
      <c r="G87" s="1">
        <v>2544.8000000000002</v>
      </c>
      <c r="H87" s="1">
        <f t="shared" si="1"/>
        <v>9</v>
      </c>
    </row>
    <row r="88" spans="1:14" x14ac:dyDescent="0.25">
      <c r="A88" s="1" t="s">
        <v>231</v>
      </c>
      <c r="B88" s="1">
        <v>10.6</v>
      </c>
      <c r="C88" s="1">
        <v>466.1</v>
      </c>
      <c r="D88" s="1">
        <v>2497.6</v>
      </c>
      <c r="E88" s="1">
        <v>2545.3000000000002</v>
      </c>
      <c r="F88" s="1">
        <v>2542.9</v>
      </c>
      <c r="G88" s="1">
        <v>2541.1999999999998</v>
      </c>
      <c r="H88" s="1">
        <f t="shared" si="1"/>
        <v>9</v>
      </c>
    </row>
    <row r="89" spans="1:14" x14ac:dyDescent="0.25">
      <c r="A89" s="1" t="s">
        <v>232</v>
      </c>
      <c r="B89" s="1">
        <v>10.199999999999999</v>
      </c>
      <c r="C89" s="1">
        <v>439.9</v>
      </c>
      <c r="D89" s="1">
        <v>2497.1</v>
      </c>
      <c r="E89" s="1">
        <v>2541.6999999999998</v>
      </c>
      <c r="F89" s="1">
        <v>2538.1</v>
      </c>
      <c r="G89" s="1">
        <v>2535.6</v>
      </c>
      <c r="H89" s="1">
        <f t="shared" si="1"/>
        <v>9</v>
      </c>
    </row>
    <row r="90" spans="1:14" x14ac:dyDescent="0.25">
      <c r="A90" s="1" t="s">
        <v>233</v>
      </c>
      <c r="B90" s="1">
        <v>9.6999999999999993</v>
      </c>
      <c r="C90" s="1">
        <v>321.3</v>
      </c>
      <c r="D90" s="1">
        <v>1918.7</v>
      </c>
      <c r="E90" s="1">
        <v>1949.5</v>
      </c>
      <c r="F90" s="1">
        <v>1947.2</v>
      </c>
      <c r="G90" s="1">
        <v>1945.4</v>
      </c>
      <c r="H90" s="1">
        <f t="shared" si="1"/>
        <v>7</v>
      </c>
    </row>
    <row r="95" spans="1:14" x14ac:dyDescent="0.25">
      <c r="A95" s="42" t="s">
        <v>236</v>
      </c>
      <c r="B95" s="42"/>
      <c r="C95" s="42"/>
      <c r="D95" s="42"/>
      <c r="E95" s="42"/>
    </row>
    <row r="96" spans="1:14" x14ac:dyDescent="0.25">
      <c r="A96" s="2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I96" s="1" t="s">
        <v>7</v>
      </c>
      <c r="J96" s="1" t="s">
        <v>6</v>
      </c>
      <c r="K96" s="1" t="s">
        <v>5</v>
      </c>
      <c r="L96" s="1" t="s">
        <v>8</v>
      </c>
      <c r="M96" s="33" t="s">
        <v>18</v>
      </c>
      <c r="N96" s="33"/>
    </row>
    <row r="97" spans="1:14" ht="13.2" customHeight="1" x14ac:dyDescent="0.25">
      <c r="A97" s="2" t="s">
        <v>195</v>
      </c>
      <c r="B97" s="2" t="str">
        <f>CONCATENATE(I97,"×",J97,"×",K97,"(均1986)")</f>
        <v>70×10×180(均1986)</v>
      </c>
      <c r="C97" s="2">
        <f>100*4</f>
        <v>400</v>
      </c>
      <c r="D97" s="3">
        <f>3165.0229/1000000*1.986*7850</f>
        <v>49.343023513289999</v>
      </c>
      <c r="E97" s="3">
        <f t="shared" ref="E97:E99" si="2">C97*D97</f>
        <v>19737.209405316</v>
      </c>
      <c r="I97" s="1">
        <v>70</v>
      </c>
      <c r="J97" s="1">
        <v>10</v>
      </c>
      <c r="K97" s="1">
        <v>180</v>
      </c>
      <c r="M97" s="6">
        <f>605.5952/1000*1.986</f>
        <v>1.2027120672</v>
      </c>
      <c r="N97" s="6">
        <f>M97*C97</f>
        <v>481.08482687999998</v>
      </c>
    </row>
    <row r="98" spans="1:14" ht="15.6" customHeight="1" x14ac:dyDescent="0.25">
      <c r="A98" s="2" t="s">
        <v>234</v>
      </c>
      <c r="B98" s="2" t="s">
        <v>245</v>
      </c>
      <c r="C98" s="2">
        <f>200*4</f>
        <v>800</v>
      </c>
      <c r="D98" s="3">
        <f>552.9203/1000000*1.978*7850</f>
        <v>8.5853593741900003</v>
      </c>
      <c r="E98" s="3">
        <f t="shared" si="2"/>
        <v>6868.2874993519999</v>
      </c>
      <c r="M98" s="6">
        <f>(125.66371+106.81415)/1000*1.978</f>
        <v>0.45984120707999998</v>
      </c>
      <c r="N98" s="6">
        <f>M98*C98</f>
        <v>367.87296566399999</v>
      </c>
    </row>
    <row r="99" spans="1:14" x14ac:dyDescent="0.25">
      <c r="A99" s="4" t="s">
        <v>235</v>
      </c>
      <c r="B99" s="2" t="str">
        <f t="shared" ref="B99" si="3">CONCATENATE("□",I99,"×",J99,"×",K99)</f>
        <v>□316×6×700</v>
      </c>
      <c r="C99" s="4">
        <f>SUM(H2:H51)*4</f>
        <v>1188</v>
      </c>
      <c r="D99" s="3">
        <f t="shared" ref="D99" si="4">IF(L99&gt;0,(L99*J99/1000000000*7850),(I99*J99*K99/1000000000*7850))</f>
        <v>10.418519999999999</v>
      </c>
      <c r="E99" s="3">
        <f t="shared" si="2"/>
        <v>12377.201759999998</v>
      </c>
      <c r="I99" s="1">
        <v>316</v>
      </c>
      <c r="J99" s="1">
        <v>6</v>
      </c>
      <c r="K99" s="1">
        <v>700</v>
      </c>
      <c r="M99" s="6">
        <f t="shared" ref="M99" si="5">IF(L99&gt;0,(L99*2/1000000),(I99*K99*2/1000000))</f>
        <v>0.44240000000000002</v>
      </c>
      <c r="N99" s="1">
        <f t="shared" ref="N99" si="6">M99*C99</f>
        <v>525.57119999999998</v>
      </c>
    </row>
    <row r="100" spans="1:14" x14ac:dyDescent="0.25">
      <c r="A100" s="37" t="s">
        <v>16</v>
      </c>
      <c r="B100" s="37"/>
      <c r="C100" s="37"/>
      <c r="D100" s="37"/>
      <c r="E100" s="7">
        <f>SUM(E97:E99)</f>
        <v>38982.698664667994</v>
      </c>
    </row>
    <row r="101" spans="1:14" x14ac:dyDescent="0.25">
      <c r="A101" s="37" t="s">
        <v>19</v>
      </c>
      <c r="B101" s="37"/>
      <c r="C101" s="37"/>
      <c r="D101" s="37"/>
      <c r="E101" s="8">
        <f>E100*0.015</f>
        <v>584.74047997001992</v>
      </c>
    </row>
    <row r="102" spans="1:14" x14ac:dyDescent="0.25">
      <c r="A102" s="37" t="s">
        <v>17</v>
      </c>
      <c r="B102" s="37"/>
      <c r="C102" s="37"/>
      <c r="D102" s="37"/>
      <c r="E102" s="7">
        <f>E100+E101</f>
        <v>39567.439144638018</v>
      </c>
    </row>
    <row r="103" spans="1:14" x14ac:dyDescent="0.25">
      <c r="E103" s="21"/>
    </row>
    <row r="104" spans="1:14" x14ac:dyDescent="0.25">
      <c r="A104" s="42" t="s">
        <v>120</v>
      </c>
      <c r="B104" s="42"/>
      <c r="C104" s="42"/>
      <c r="D104" s="42"/>
      <c r="E104" s="42"/>
    </row>
    <row r="105" spans="1:14" x14ac:dyDescent="0.25">
      <c r="A105" s="2" t="s">
        <v>0</v>
      </c>
      <c r="B105" s="2" t="s">
        <v>1</v>
      </c>
      <c r="C105" s="2" t="s">
        <v>2</v>
      </c>
      <c r="D105" s="2" t="s">
        <v>3</v>
      </c>
      <c r="E105" s="2" t="s">
        <v>4</v>
      </c>
      <c r="I105" s="1" t="s">
        <v>7</v>
      </c>
      <c r="J105" s="1" t="s">
        <v>6</v>
      </c>
      <c r="K105" s="1" t="s">
        <v>5</v>
      </c>
      <c r="L105" s="1" t="s">
        <v>8</v>
      </c>
      <c r="M105" s="33" t="s">
        <v>18</v>
      </c>
      <c r="N105" s="33"/>
    </row>
    <row r="106" spans="1:14" x14ac:dyDescent="0.25">
      <c r="A106" s="2" t="s">
        <v>195</v>
      </c>
      <c r="B106" s="2" t="str">
        <f>CONCATENATE(I106,"×",J106,"×",K106,"(均2277)")</f>
        <v>70×10×180(均2277)</v>
      </c>
      <c r="C106" s="2">
        <f>38*2*4</f>
        <v>304</v>
      </c>
      <c r="D106" s="3">
        <f>3165.0229/1000000*2.277*7850</f>
        <v>56.573043574905</v>
      </c>
      <c r="E106" s="3">
        <f t="shared" ref="E106:E108" si="7">C106*D106</f>
        <v>17198.205246771118</v>
      </c>
      <c r="I106" s="1">
        <v>70</v>
      </c>
      <c r="J106" s="1">
        <v>10</v>
      </c>
      <c r="K106" s="1">
        <v>180</v>
      </c>
      <c r="M106" s="6">
        <f>605.5952/1000*1.986</f>
        <v>1.2027120672</v>
      </c>
      <c r="N106" s="6">
        <f>M106*C106</f>
        <v>365.62446842880001</v>
      </c>
    </row>
    <row r="107" spans="1:14" x14ac:dyDescent="0.25">
      <c r="A107" s="2" t="s">
        <v>234</v>
      </c>
      <c r="B107" s="2" t="s">
        <v>244</v>
      </c>
      <c r="C107" s="2">
        <f>38*4*4</f>
        <v>608</v>
      </c>
      <c r="D107" s="3">
        <f>552.9203/1000000*2.28*7850</f>
        <v>9.8961675293999996</v>
      </c>
      <c r="E107" s="3">
        <f t="shared" si="7"/>
        <v>6016.8698578752001</v>
      </c>
      <c r="M107" s="6">
        <f>(125.66371+106.81415)/1000*1.978</f>
        <v>0.45984120707999998</v>
      </c>
      <c r="N107" s="6">
        <f>M107*C107</f>
        <v>279.58345390464001</v>
      </c>
    </row>
    <row r="108" spans="1:14" x14ac:dyDescent="0.25">
      <c r="A108" s="4" t="s">
        <v>235</v>
      </c>
      <c r="B108" s="2" t="str">
        <f t="shared" ref="B108" si="8">CONCATENATE("□",I108,"×",J108,"×",K108)</f>
        <v>□316×6×600</v>
      </c>
      <c r="C108" s="4">
        <f>SUM(H53:H90)*4</f>
        <v>1180</v>
      </c>
      <c r="D108" s="3">
        <f t="shared" ref="D108" si="9">IF(L108&gt;0,(L108*J108/1000000000*7850),(I108*J108*K108/1000000000*7850))</f>
        <v>8.930159999999999</v>
      </c>
      <c r="E108" s="3">
        <f t="shared" si="7"/>
        <v>10537.5888</v>
      </c>
      <c r="I108" s="1">
        <v>316</v>
      </c>
      <c r="J108" s="1">
        <v>6</v>
      </c>
      <c r="K108" s="1">
        <v>600</v>
      </c>
      <c r="M108" s="6">
        <f t="shared" ref="M108" si="10">IF(L108&gt;0,(L108*2/1000000),(I108*K108*2/1000000))</f>
        <v>0.37919999999999998</v>
      </c>
      <c r="N108" s="1">
        <f t="shared" ref="N108" si="11">M108*C108</f>
        <v>447.45599999999996</v>
      </c>
    </row>
    <row r="109" spans="1:14" x14ac:dyDescent="0.25">
      <c r="A109" s="37" t="s">
        <v>16</v>
      </c>
      <c r="B109" s="37"/>
      <c r="C109" s="37"/>
      <c r="D109" s="37"/>
      <c r="E109" s="7">
        <f>SUM(E106:E108)</f>
        <v>33752.663904646317</v>
      </c>
    </row>
    <row r="110" spans="1:14" x14ac:dyDescent="0.25">
      <c r="A110" s="37" t="s">
        <v>19</v>
      </c>
      <c r="B110" s="37"/>
      <c r="C110" s="37"/>
      <c r="D110" s="37"/>
      <c r="E110" s="8">
        <f>E109*0.015</f>
        <v>506.28995856969476</v>
      </c>
    </row>
    <row r="111" spans="1:14" x14ac:dyDescent="0.25">
      <c r="A111" s="37" t="s">
        <v>17</v>
      </c>
      <c r="B111" s="37"/>
      <c r="C111" s="37"/>
      <c r="D111" s="37"/>
      <c r="E111" s="7">
        <f>E109+E110</f>
        <v>34258.953863216011</v>
      </c>
    </row>
    <row r="114" spans="1:3" x14ac:dyDescent="0.25">
      <c r="A114" s="33" t="s">
        <v>241</v>
      </c>
      <c r="B114" s="1">
        <v>4</v>
      </c>
      <c r="C114" s="5">
        <f>E98+E107</f>
        <v>12885.157357227199</v>
      </c>
    </row>
    <row r="115" spans="1:3" x14ac:dyDescent="0.25">
      <c r="A115" s="33"/>
      <c r="B115" s="1">
        <v>6</v>
      </c>
      <c r="C115" s="5">
        <f>E99+E108</f>
        <v>22914.790559999998</v>
      </c>
    </row>
    <row r="116" spans="1:3" x14ac:dyDescent="0.25">
      <c r="A116" s="33"/>
      <c r="B116" s="1">
        <v>10</v>
      </c>
      <c r="C116" s="5">
        <f>E97+E106</f>
        <v>36935.414652087115</v>
      </c>
    </row>
    <row r="117" spans="1:3" x14ac:dyDescent="0.25">
      <c r="A117" s="33"/>
      <c r="B117" s="1" t="s">
        <v>101</v>
      </c>
      <c r="C117" s="5">
        <f>SUM(C114:C116)</f>
        <v>72735.362569314311</v>
      </c>
    </row>
    <row r="118" spans="1:3" x14ac:dyDescent="0.25">
      <c r="A118" s="1" t="s">
        <v>18</v>
      </c>
      <c r="B118" s="1" t="s">
        <v>103</v>
      </c>
      <c r="C118" s="25">
        <f>SUM(N97:N108)</f>
        <v>2467.1929148774402</v>
      </c>
    </row>
  </sheetData>
  <mergeCells count="11">
    <mergeCell ref="A114:A117"/>
    <mergeCell ref="A95:E95"/>
    <mergeCell ref="A104:E104"/>
    <mergeCell ref="M105:N105"/>
    <mergeCell ref="A109:D109"/>
    <mergeCell ref="A110:D110"/>
    <mergeCell ref="A111:D111"/>
    <mergeCell ref="M96:N96"/>
    <mergeCell ref="A100:D100"/>
    <mergeCell ref="A101:D101"/>
    <mergeCell ref="A102:D10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AEA6-DB98-4023-BDE9-2FB8B4470890}">
  <dimension ref="A6:N39"/>
  <sheetViews>
    <sheetView workbookViewId="0">
      <selection activeCell="J9" sqref="J9:J16"/>
    </sheetView>
  </sheetViews>
  <sheetFormatPr defaultRowHeight="13.8" x14ac:dyDescent="0.25"/>
  <cols>
    <col min="6" max="6" width="11.88671875" customWidth="1"/>
    <col min="10" max="10" width="10" bestFit="1" customWidth="1"/>
    <col min="11" max="13" width="10" customWidth="1"/>
  </cols>
  <sheetData>
    <row r="6" spans="1:14" x14ac:dyDescent="0.25">
      <c r="A6" s="28" t="s">
        <v>109</v>
      </c>
      <c r="B6" s="43" t="s">
        <v>110</v>
      </c>
      <c r="C6" s="44"/>
      <c r="D6" s="45"/>
      <c r="E6" s="28" t="s">
        <v>111</v>
      </c>
      <c r="F6" s="28" t="s">
        <v>133</v>
      </c>
      <c r="G6" s="28" t="s">
        <v>120</v>
      </c>
      <c r="H6" s="28" t="s">
        <v>124</v>
      </c>
      <c r="I6" s="28" t="s">
        <v>125</v>
      </c>
      <c r="J6" s="28" t="s">
        <v>136</v>
      </c>
      <c r="K6" s="28" t="s">
        <v>238</v>
      </c>
      <c r="L6" s="28" t="s">
        <v>240</v>
      </c>
      <c r="M6" s="28" t="s">
        <v>237</v>
      </c>
      <c r="N6" s="4" t="s">
        <v>101</v>
      </c>
    </row>
    <row r="7" spans="1:14" ht="13.5" customHeight="1" x14ac:dyDescent="0.25">
      <c r="A7" s="46" t="s">
        <v>112</v>
      </c>
      <c r="B7" s="49" t="s">
        <v>108</v>
      </c>
      <c r="C7" s="50"/>
      <c r="D7" s="2" t="s">
        <v>114</v>
      </c>
      <c r="E7" s="28" t="s">
        <v>113</v>
      </c>
      <c r="F7" s="28"/>
      <c r="G7" s="28"/>
      <c r="H7" s="28"/>
      <c r="I7" s="29">
        <f>装饰板!C17</f>
        <v>111311.86057955874</v>
      </c>
      <c r="J7" s="29"/>
      <c r="K7" s="29"/>
      <c r="L7" s="29"/>
      <c r="M7" s="29"/>
      <c r="N7" s="8">
        <f>SUM(F7:M7)</f>
        <v>111311.86057955874</v>
      </c>
    </row>
    <row r="8" spans="1:14" x14ac:dyDescent="0.25">
      <c r="A8" s="47"/>
      <c r="B8" s="51"/>
      <c r="C8" s="52"/>
      <c r="D8" s="2" t="s">
        <v>93</v>
      </c>
      <c r="E8" s="28" t="s">
        <v>113</v>
      </c>
      <c r="F8" s="28"/>
      <c r="G8" s="29">
        <f>'C1节段'!C43+'C2节段'!C39+'C3节段'!C19+'C4节段'!C41+'C5节段'!C39</f>
        <v>2426.7804000000001</v>
      </c>
      <c r="H8" s="8"/>
      <c r="I8" s="8"/>
      <c r="J8" s="8"/>
      <c r="K8" s="8"/>
      <c r="L8" s="8"/>
      <c r="M8" s="8"/>
      <c r="N8" s="8">
        <f t="shared" ref="N8:N32" si="0">SUM(F8:M8)</f>
        <v>2426.7804000000001</v>
      </c>
    </row>
    <row r="9" spans="1:14" x14ac:dyDescent="0.25">
      <c r="A9" s="47"/>
      <c r="B9" s="51"/>
      <c r="C9" s="52"/>
      <c r="D9" s="2" t="s">
        <v>94</v>
      </c>
      <c r="E9" s="28" t="s">
        <v>113</v>
      </c>
      <c r="F9" s="2">
        <v>31443.8</v>
      </c>
      <c r="G9" s="29">
        <f>'C1节段'!C44+'C2节段'!C40+'C3节段'!C20+'C4节段'!C42+'C5节段'!C40</f>
        <v>63832.019768434679</v>
      </c>
      <c r="H9" s="8"/>
      <c r="I9" s="8">
        <f>装饰板!C18</f>
        <v>4274.4192000000003</v>
      </c>
      <c r="J9" s="8">
        <v>8263.1</v>
      </c>
      <c r="K9" s="8">
        <v>2089</v>
      </c>
      <c r="L9" s="8"/>
      <c r="M9" s="8"/>
      <c r="N9" s="8">
        <f t="shared" si="0"/>
        <v>109902.33896843469</v>
      </c>
    </row>
    <row r="10" spans="1:14" x14ac:dyDescent="0.25">
      <c r="A10" s="47"/>
      <c r="B10" s="51"/>
      <c r="C10" s="52"/>
      <c r="D10" s="2" t="s">
        <v>95</v>
      </c>
      <c r="E10" s="28" t="s">
        <v>113</v>
      </c>
      <c r="F10" s="2">
        <v>66140.7</v>
      </c>
      <c r="G10" s="29">
        <f>'C1节段'!C45+'C2节段'!C41+'C3节段'!C21</f>
        <v>163083.58746857598</v>
      </c>
      <c r="H10" s="8"/>
      <c r="I10" s="8"/>
      <c r="J10" s="8">
        <v>21858.9</v>
      </c>
      <c r="K10" s="8">
        <v>4642.2</v>
      </c>
      <c r="L10" s="8"/>
      <c r="M10" s="8"/>
      <c r="N10" s="8">
        <f t="shared" si="0"/>
        <v>255725.38746857599</v>
      </c>
    </row>
    <row r="11" spans="1:14" x14ac:dyDescent="0.25">
      <c r="A11" s="47"/>
      <c r="B11" s="51"/>
      <c r="C11" s="52"/>
      <c r="D11" s="2" t="s">
        <v>126</v>
      </c>
      <c r="E11" s="28" t="s">
        <v>113</v>
      </c>
      <c r="F11" s="28"/>
      <c r="G11" s="29"/>
      <c r="H11" s="8">
        <f>拱肋吊点!C35</f>
        <v>5595.6502429594202</v>
      </c>
      <c r="I11" s="8"/>
      <c r="J11" s="8"/>
      <c r="K11" s="8"/>
      <c r="L11" s="8"/>
      <c r="M11" s="8"/>
      <c r="N11" s="8">
        <f t="shared" si="0"/>
        <v>5595.6502429594202</v>
      </c>
    </row>
    <row r="12" spans="1:14" x14ac:dyDescent="0.25">
      <c r="A12" s="47"/>
      <c r="B12" s="51"/>
      <c r="C12" s="52"/>
      <c r="D12" s="2" t="s">
        <v>96</v>
      </c>
      <c r="E12" s="28" t="s">
        <v>113</v>
      </c>
      <c r="F12" s="28"/>
      <c r="G12" s="29">
        <f>'C1节段'!C46+'C2节段'!C42</f>
        <v>4381.3857253360002</v>
      </c>
      <c r="H12" s="8"/>
      <c r="I12" s="8"/>
      <c r="J12" s="8"/>
      <c r="K12" s="8"/>
      <c r="L12" s="8"/>
      <c r="M12" s="8"/>
      <c r="N12" s="8">
        <f t="shared" si="0"/>
        <v>4381.3857253360002</v>
      </c>
    </row>
    <row r="13" spans="1:14" x14ac:dyDescent="0.25">
      <c r="A13" s="47"/>
      <c r="B13" s="51"/>
      <c r="C13" s="52"/>
      <c r="D13" s="2" t="s">
        <v>97</v>
      </c>
      <c r="E13" s="28" t="s">
        <v>113</v>
      </c>
      <c r="F13" s="2">
        <v>303644.90000000002</v>
      </c>
      <c r="G13" s="29">
        <f>'C1节段'!C47+'C4节段'!C43+'C5节段'!C41</f>
        <v>160201.8788952305</v>
      </c>
      <c r="H13" s="8"/>
      <c r="I13" s="8"/>
      <c r="J13" s="8">
        <v>36165</v>
      </c>
      <c r="K13" s="8"/>
      <c r="L13" s="8"/>
      <c r="M13" s="8">
        <v>12154.1</v>
      </c>
      <c r="N13" s="8">
        <f t="shared" si="0"/>
        <v>512165.87889523047</v>
      </c>
    </row>
    <row r="14" spans="1:14" x14ac:dyDescent="0.25">
      <c r="A14" s="47"/>
      <c r="B14" s="51"/>
      <c r="C14" s="52"/>
      <c r="D14" s="2" t="s">
        <v>127</v>
      </c>
      <c r="E14" s="28" t="s">
        <v>113</v>
      </c>
      <c r="F14" s="2">
        <v>299071.3</v>
      </c>
      <c r="G14" s="29"/>
      <c r="H14" s="8">
        <f>拱肋吊点!C36</f>
        <v>9956.7746302169598</v>
      </c>
      <c r="I14" s="8"/>
      <c r="J14" s="8">
        <v>23447.9</v>
      </c>
      <c r="K14" s="8"/>
      <c r="L14" s="8"/>
      <c r="M14" s="8">
        <v>2363.3000000000002</v>
      </c>
      <c r="N14" s="8">
        <f t="shared" si="0"/>
        <v>334839.27463021694</v>
      </c>
    </row>
    <row r="15" spans="1:14" x14ac:dyDescent="0.25">
      <c r="A15" s="47"/>
      <c r="B15" s="51"/>
      <c r="C15" s="52"/>
      <c r="D15" s="2" t="s">
        <v>98</v>
      </c>
      <c r="E15" s="28" t="s">
        <v>113</v>
      </c>
      <c r="F15" s="2">
        <v>199020.7</v>
      </c>
      <c r="G15" s="29">
        <f>'C1节段'!C48+'C2节段'!C43</f>
        <v>36466.63305931136</v>
      </c>
      <c r="H15" s="8"/>
      <c r="I15" s="8"/>
      <c r="J15" s="8"/>
      <c r="K15" s="8"/>
      <c r="L15" s="8"/>
      <c r="M15" s="8"/>
      <c r="N15" s="8">
        <f t="shared" si="0"/>
        <v>235487.33305931138</v>
      </c>
    </row>
    <row r="16" spans="1:14" x14ac:dyDescent="0.25">
      <c r="A16" s="47"/>
      <c r="B16" s="51"/>
      <c r="C16" s="52"/>
      <c r="D16" s="2" t="s">
        <v>128</v>
      </c>
      <c r="E16" s="28" t="s">
        <v>113</v>
      </c>
      <c r="F16" s="2">
        <v>336022.3</v>
      </c>
      <c r="G16" s="29"/>
      <c r="H16" s="8">
        <f>拱肋吊点!C37</f>
        <v>3121.05142970208</v>
      </c>
      <c r="I16" s="8"/>
      <c r="J16" s="8"/>
      <c r="K16" s="8"/>
      <c r="L16" s="8"/>
      <c r="M16" s="8"/>
      <c r="N16" s="8">
        <f t="shared" si="0"/>
        <v>339143.35142970207</v>
      </c>
    </row>
    <row r="17" spans="1:14" x14ac:dyDescent="0.25">
      <c r="A17" s="47"/>
      <c r="B17" s="51"/>
      <c r="C17" s="52"/>
      <c r="D17" s="2" t="s">
        <v>121</v>
      </c>
      <c r="E17" s="28" t="s">
        <v>134</v>
      </c>
      <c r="F17" s="2">
        <v>266923.40000000002</v>
      </c>
      <c r="G17" s="29"/>
      <c r="H17" s="8"/>
      <c r="I17" s="8"/>
      <c r="J17" s="8"/>
      <c r="K17" s="8"/>
      <c r="L17" s="8"/>
      <c r="M17" s="8"/>
      <c r="N17" s="8">
        <f t="shared" si="0"/>
        <v>266923.40000000002</v>
      </c>
    </row>
    <row r="18" spans="1:14" x14ac:dyDescent="0.25">
      <c r="A18" s="47"/>
      <c r="B18" s="51"/>
      <c r="C18" s="52"/>
      <c r="D18" s="2" t="s">
        <v>239</v>
      </c>
      <c r="E18" s="28" t="s">
        <v>134</v>
      </c>
      <c r="F18" s="28"/>
      <c r="G18" s="29"/>
      <c r="H18" s="8"/>
      <c r="I18" s="8"/>
      <c r="J18" s="8"/>
      <c r="K18" s="8">
        <v>6092.9</v>
      </c>
      <c r="L18" s="8"/>
      <c r="M18" s="8"/>
      <c r="N18" s="8">
        <f t="shared" si="0"/>
        <v>6092.9</v>
      </c>
    </row>
    <row r="19" spans="1:14" x14ac:dyDescent="0.25">
      <c r="A19" s="47"/>
      <c r="B19" s="51"/>
      <c r="C19" s="52"/>
      <c r="D19" s="2" t="s">
        <v>122</v>
      </c>
      <c r="E19" s="28" t="s">
        <v>113</v>
      </c>
      <c r="F19" s="2">
        <v>136351.1</v>
      </c>
      <c r="G19" s="29"/>
      <c r="H19" s="8">
        <f>拱肋吊点!C38</f>
        <v>18478.899999999998</v>
      </c>
      <c r="I19" s="8"/>
      <c r="J19" s="8"/>
      <c r="K19" s="8"/>
      <c r="L19" s="8"/>
      <c r="M19" s="8"/>
      <c r="N19" s="8">
        <f t="shared" si="0"/>
        <v>154830</v>
      </c>
    </row>
    <row r="20" spans="1:14" x14ac:dyDescent="0.25">
      <c r="A20" s="47"/>
      <c r="B20" s="53"/>
      <c r="C20" s="54"/>
      <c r="D20" s="2" t="s">
        <v>135</v>
      </c>
      <c r="E20" s="28" t="s">
        <v>134</v>
      </c>
      <c r="F20" s="2">
        <v>38724.699999999997</v>
      </c>
      <c r="G20" s="29"/>
      <c r="H20" s="8"/>
      <c r="I20" s="8"/>
      <c r="J20" s="8"/>
      <c r="K20" s="8"/>
      <c r="L20" s="8"/>
      <c r="M20" s="8"/>
      <c r="N20" s="8">
        <f t="shared" si="0"/>
        <v>38724.699999999997</v>
      </c>
    </row>
    <row r="21" spans="1:14" x14ac:dyDescent="0.25">
      <c r="A21" s="47"/>
      <c r="B21" s="49" t="s">
        <v>241</v>
      </c>
      <c r="C21" s="50"/>
      <c r="D21" s="2" t="s">
        <v>243</v>
      </c>
      <c r="E21" s="28" t="s">
        <v>134</v>
      </c>
      <c r="F21" s="28"/>
      <c r="G21" s="29"/>
      <c r="H21" s="8"/>
      <c r="I21" s="8"/>
      <c r="J21" s="8"/>
      <c r="K21" s="8"/>
      <c r="L21" s="8">
        <f>爬梯!C114</f>
        <v>12885.157357227199</v>
      </c>
      <c r="M21" s="8"/>
      <c r="N21" s="8">
        <f t="shared" si="0"/>
        <v>12885.157357227199</v>
      </c>
    </row>
    <row r="22" spans="1:14" x14ac:dyDescent="0.25">
      <c r="A22" s="47"/>
      <c r="B22" s="51"/>
      <c r="C22" s="52"/>
      <c r="D22" s="2" t="s">
        <v>242</v>
      </c>
      <c r="E22" s="28" t="s">
        <v>113</v>
      </c>
      <c r="F22" s="28"/>
      <c r="G22" s="29"/>
      <c r="H22" s="8"/>
      <c r="I22" s="8"/>
      <c r="J22" s="8"/>
      <c r="K22" s="8"/>
      <c r="L22" s="8">
        <f>爬梯!C115</f>
        <v>22914.790559999998</v>
      </c>
      <c r="M22" s="8"/>
      <c r="N22" s="8">
        <f t="shared" si="0"/>
        <v>22914.790559999998</v>
      </c>
    </row>
    <row r="23" spans="1:14" x14ac:dyDescent="0.25">
      <c r="A23" s="47"/>
      <c r="B23" s="53"/>
      <c r="C23" s="54"/>
      <c r="D23" s="2" t="s">
        <v>93</v>
      </c>
      <c r="E23" s="28" t="s">
        <v>134</v>
      </c>
      <c r="F23" s="28"/>
      <c r="G23" s="29"/>
      <c r="H23" s="8"/>
      <c r="I23" s="8"/>
      <c r="J23" s="8"/>
      <c r="K23" s="8"/>
      <c r="L23" s="8">
        <f>爬梯!C116</f>
        <v>36935.414652087115</v>
      </c>
      <c r="M23" s="8"/>
      <c r="N23" s="8">
        <f t="shared" si="0"/>
        <v>36935.414652087115</v>
      </c>
    </row>
    <row r="24" spans="1:14" x14ac:dyDescent="0.25">
      <c r="A24" s="47"/>
      <c r="B24" s="55" t="s">
        <v>119</v>
      </c>
      <c r="C24" s="55"/>
      <c r="D24" s="2" t="s">
        <v>99</v>
      </c>
      <c r="E24" s="28" t="s">
        <v>113</v>
      </c>
      <c r="F24" s="28"/>
      <c r="G24" s="29">
        <f>'C1节段'!C50+'C2节段'!C45</f>
        <v>15443.305128363201</v>
      </c>
      <c r="H24" s="8"/>
      <c r="I24" s="8"/>
      <c r="J24" s="8"/>
      <c r="K24" s="8"/>
      <c r="L24" s="8"/>
      <c r="M24" s="8"/>
      <c r="N24" s="8">
        <f t="shared" si="0"/>
        <v>15443.305128363201</v>
      </c>
    </row>
    <row r="25" spans="1:14" x14ac:dyDescent="0.25">
      <c r="A25" s="47"/>
      <c r="B25" s="55" t="s">
        <v>118</v>
      </c>
      <c r="C25" s="55"/>
      <c r="D25" s="2" t="s">
        <v>121</v>
      </c>
      <c r="E25" s="28" t="s">
        <v>113</v>
      </c>
      <c r="F25" s="28"/>
      <c r="G25" s="29">
        <f>'C1节段'!C51+'C2节段'!C46</f>
        <v>5609.1548678016006</v>
      </c>
      <c r="H25" s="8"/>
      <c r="I25" s="8"/>
      <c r="J25" s="8"/>
      <c r="K25" s="8"/>
      <c r="L25" s="8"/>
      <c r="M25" s="8"/>
      <c r="N25" s="8">
        <f t="shared" si="0"/>
        <v>5609.1548678016006</v>
      </c>
    </row>
    <row r="26" spans="1:14" x14ac:dyDescent="0.25">
      <c r="A26" s="47"/>
      <c r="B26" s="55"/>
      <c r="C26" s="55"/>
      <c r="D26" s="2" t="s">
        <v>122</v>
      </c>
      <c r="E26" s="28" t="s">
        <v>113</v>
      </c>
      <c r="F26" s="28"/>
      <c r="G26" s="29">
        <f>'C1节段'!C52+'C2节段'!C47</f>
        <v>3156.6722984880003</v>
      </c>
      <c r="H26" s="8"/>
      <c r="I26" s="8"/>
      <c r="J26" s="8"/>
      <c r="K26" s="8"/>
      <c r="L26" s="8"/>
      <c r="M26" s="8"/>
      <c r="N26" s="8">
        <f t="shared" si="0"/>
        <v>3156.6722984880003</v>
      </c>
    </row>
    <row r="27" spans="1:14" x14ac:dyDescent="0.25">
      <c r="A27" s="47"/>
      <c r="B27" s="43" t="s">
        <v>116</v>
      </c>
      <c r="C27" s="45"/>
      <c r="D27" s="2" t="s">
        <v>100</v>
      </c>
      <c r="E27" s="28" t="s">
        <v>113</v>
      </c>
      <c r="F27" s="28"/>
      <c r="G27" s="29">
        <f>'C1节段'!C53+'C2节段'!C48</f>
        <v>1104.8353031520001</v>
      </c>
      <c r="H27" s="8"/>
      <c r="I27" s="8"/>
      <c r="J27" s="8"/>
      <c r="K27" s="8"/>
      <c r="L27" s="8"/>
      <c r="M27" s="8"/>
      <c r="N27" s="8">
        <f t="shared" si="0"/>
        <v>1104.8353031520001</v>
      </c>
    </row>
    <row r="28" spans="1:14" ht="15" customHeight="1" x14ac:dyDescent="0.25">
      <c r="A28" s="47"/>
      <c r="B28" s="43" t="s">
        <v>105</v>
      </c>
      <c r="C28" s="45"/>
      <c r="D28" s="2" t="s">
        <v>123</v>
      </c>
      <c r="E28" s="28" t="s">
        <v>113</v>
      </c>
      <c r="F28" s="28"/>
      <c r="G28" s="29">
        <f>'C4节段'!C45+'C5节段'!C43</f>
        <v>3215.674</v>
      </c>
      <c r="H28" s="8"/>
      <c r="I28" s="8"/>
      <c r="J28" s="8"/>
      <c r="K28" s="8"/>
      <c r="L28" s="8"/>
      <c r="M28" s="8"/>
      <c r="N28" s="8">
        <f t="shared" si="0"/>
        <v>3215.674</v>
      </c>
    </row>
    <row r="29" spans="1:14" x14ac:dyDescent="0.25">
      <c r="A29" s="48"/>
      <c r="B29" s="55" t="s">
        <v>115</v>
      </c>
      <c r="C29" s="56"/>
      <c r="D29" s="56"/>
      <c r="E29" s="28" t="s">
        <v>113</v>
      </c>
      <c r="F29" s="29">
        <f>SUM(F7:F28)</f>
        <v>1677342.9000000001</v>
      </c>
      <c r="G29" s="29">
        <f t="shared" ref="G29:M29" si="1">SUM(G7:G28)</f>
        <v>458921.92691469326</v>
      </c>
      <c r="H29" s="29">
        <f t="shared" si="1"/>
        <v>37152.37630287846</v>
      </c>
      <c r="I29" s="29">
        <f t="shared" si="1"/>
        <v>115586.27977955874</v>
      </c>
      <c r="J29" s="29">
        <f t="shared" si="1"/>
        <v>89734.9</v>
      </c>
      <c r="K29" s="29">
        <f t="shared" si="1"/>
        <v>12824.099999999999</v>
      </c>
      <c r="L29" s="29">
        <f t="shared" si="1"/>
        <v>72735.362569314311</v>
      </c>
      <c r="M29" s="29">
        <f t="shared" si="1"/>
        <v>14517.400000000001</v>
      </c>
      <c r="N29" s="8">
        <f t="shared" si="0"/>
        <v>2478815.2455664445</v>
      </c>
    </row>
    <row r="30" spans="1:14" x14ac:dyDescent="0.25">
      <c r="A30" s="30" t="s">
        <v>87</v>
      </c>
      <c r="B30" s="43" t="s">
        <v>88</v>
      </c>
      <c r="C30" s="44"/>
      <c r="D30" s="45"/>
      <c r="E30" s="28" t="s">
        <v>129</v>
      </c>
      <c r="F30" s="28"/>
      <c r="G30" s="29"/>
      <c r="H30" s="13">
        <f>拱肋吊点!C40</f>
        <v>800</v>
      </c>
      <c r="I30" s="8"/>
      <c r="J30" s="8"/>
      <c r="K30" s="8"/>
      <c r="L30" s="8"/>
      <c r="M30" s="8"/>
      <c r="N30" s="13">
        <f t="shared" si="0"/>
        <v>800</v>
      </c>
    </row>
    <row r="31" spans="1:14" ht="15" customHeight="1" x14ac:dyDescent="0.25">
      <c r="A31" s="55" t="s">
        <v>18</v>
      </c>
      <c r="B31" s="55" t="s">
        <v>130</v>
      </c>
      <c r="C31" s="55"/>
      <c r="D31" s="55"/>
      <c r="E31" s="28" t="s">
        <v>131</v>
      </c>
      <c r="F31" s="2">
        <v>7807</v>
      </c>
      <c r="G31" s="29">
        <f>'C1节段'!C54+'C2节段'!C49+'C3节段'!C23+'C4节段'!C46+'C5节段'!C44</f>
        <v>5778.4429859454358</v>
      </c>
      <c r="H31" s="8">
        <f>拱肋吊点!C41</f>
        <v>286.04902545879997</v>
      </c>
      <c r="I31" s="8">
        <f>装饰板!C20</f>
        <v>3635.7157127248006</v>
      </c>
      <c r="J31" s="8">
        <v>472.7</v>
      </c>
      <c r="K31" s="8"/>
      <c r="L31" s="8"/>
      <c r="M31" s="8"/>
      <c r="N31" s="8">
        <f t="shared" si="0"/>
        <v>17979.907724129036</v>
      </c>
    </row>
    <row r="32" spans="1:14" ht="16.2" x14ac:dyDescent="0.25">
      <c r="A32" s="55"/>
      <c r="B32" s="55" t="s">
        <v>132</v>
      </c>
      <c r="C32" s="55"/>
      <c r="D32" s="55"/>
      <c r="E32" s="28" t="s">
        <v>131</v>
      </c>
      <c r="F32" s="2">
        <v>4393.5</v>
      </c>
      <c r="G32" s="29">
        <f>'C1节段'!C55+'C2节段'!C50+'C3节段'!C24+'C4节段'!C47+'C5节段'!C45</f>
        <v>32210.000919290895</v>
      </c>
      <c r="H32" s="8"/>
      <c r="I32" s="8"/>
      <c r="J32" s="8">
        <v>560.4</v>
      </c>
      <c r="K32" s="8"/>
      <c r="L32" s="8">
        <f>爬梯!C118</f>
        <v>2467.1929148774402</v>
      </c>
      <c r="M32" s="8"/>
      <c r="N32" s="8">
        <f t="shared" si="0"/>
        <v>39631.093834168336</v>
      </c>
    </row>
    <row r="38" spans="3:8" x14ac:dyDescent="0.25">
      <c r="C38" s="31"/>
      <c r="D38" s="32"/>
      <c r="E38" s="31"/>
      <c r="F38" s="31"/>
      <c r="G38" s="31"/>
      <c r="H38" s="31"/>
    </row>
    <row r="39" spans="3:8" x14ac:dyDescent="0.25">
      <c r="C39" s="31"/>
    </row>
  </sheetData>
  <mergeCells count="13">
    <mergeCell ref="B6:D6"/>
    <mergeCell ref="A7:A29"/>
    <mergeCell ref="B7:C20"/>
    <mergeCell ref="B31:D31"/>
    <mergeCell ref="B32:D32"/>
    <mergeCell ref="A31:A32"/>
    <mergeCell ref="B24:C24"/>
    <mergeCell ref="B25:C26"/>
    <mergeCell ref="B27:C27"/>
    <mergeCell ref="B28:C28"/>
    <mergeCell ref="B29:D29"/>
    <mergeCell ref="B30:D30"/>
    <mergeCell ref="B21:C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C1节段</vt:lpstr>
      <vt:lpstr>C2节段</vt:lpstr>
      <vt:lpstr>C3节段</vt:lpstr>
      <vt:lpstr>C4节段</vt:lpstr>
      <vt:lpstr>C5节段</vt:lpstr>
      <vt:lpstr>拱肋吊点</vt:lpstr>
      <vt:lpstr>装饰板</vt:lpstr>
      <vt:lpstr>爬梯</vt:lpstr>
      <vt:lpstr>拱肋数量汇总表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高海洋</dc:creator>
  <cp:lastModifiedBy>高海洋</cp:lastModifiedBy>
  <dcterms:created xsi:type="dcterms:W3CDTF">2015-06-05T18:19:34Z</dcterms:created>
  <dcterms:modified xsi:type="dcterms:W3CDTF">2023-01-09T10:28:39Z</dcterms:modified>
</cp:coreProperties>
</file>