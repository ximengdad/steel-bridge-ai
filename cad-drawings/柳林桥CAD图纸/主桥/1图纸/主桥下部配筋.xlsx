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4A8400D4-F976-41A3-8C18-DBC4D7F06E9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承台" sheetId="2" r:id="rId1"/>
    <sheet name="支座+垫石" sheetId="3" r:id="rId2"/>
    <sheet name="防雷+墩顶装饰" sheetId="4" r:id="rId3"/>
    <sheet name="主桥下部数量表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3" l="1"/>
  <c r="M24" i="3"/>
  <c r="J36" i="3"/>
  <c r="K36" i="3" s="1"/>
  <c r="F35" i="3"/>
  <c r="H35" i="3" s="1"/>
  <c r="J35" i="3" s="1"/>
  <c r="F34" i="3"/>
  <c r="H34" i="3" s="1"/>
  <c r="J34" i="3" s="1"/>
  <c r="F33" i="3"/>
  <c r="H33" i="3" s="1"/>
  <c r="J33" i="3" s="1"/>
  <c r="C33" i="3"/>
  <c r="F32" i="3"/>
  <c r="H32" i="3" s="1"/>
  <c r="J32" i="3" s="1"/>
  <c r="K32" i="3" s="1"/>
  <c r="J28" i="3"/>
  <c r="K28" i="3" s="1"/>
  <c r="C25" i="3"/>
  <c r="F27" i="3"/>
  <c r="F25" i="3"/>
  <c r="F24" i="3"/>
  <c r="H24" i="3" s="1"/>
  <c r="J24" i="3" s="1"/>
  <c r="K24" i="3" s="1"/>
  <c r="H27" i="3"/>
  <c r="J27" i="3" s="1"/>
  <c r="F26" i="3"/>
  <c r="H26" i="3" s="1"/>
  <c r="J26" i="3" s="1"/>
  <c r="H25" i="3"/>
  <c r="J25" i="3" s="1"/>
  <c r="D11" i="3"/>
  <c r="D12" i="3"/>
  <c r="D13" i="3"/>
  <c r="D10" i="3"/>
  <c r="E47" i="4"/>
  <c r="E46" i="4"/>
  <c r="E12" i="2"/>
  <c r="K50" i="3"/>
  <c r="K49" i="3"/>
  <c r="K42" i="3"/>
  <c r="K41" i="3"/>
  <c r="M17" i="3"/>
  <c r="K33" i="3" l="1"/>
  <c r="K25" i="3"/>
  <c r="K13" i="3"/>
  <c r="K12" i="3"/>
  <c r="K11" i="3"/>
  <c r="K10" i="3"/>
  <c r="G32" i="4" l="1"/>
  <c r="E21" i="4"/>
  <c r="G21" i="4" s="1"/>
  <c r="K63" i="3"/>
  <c r="J63" i="3"/>
  <c r="F62" i="3"/>
  <c r="H62" i="3" s="1"/>
  <c r="J62" i="3" s="1"/>
  <c r="K62" i="3" s="1"/>
  <c r="F60" i="3"/>
  <c r="H60" i="3" s="1"/>
  <c r="H61" i="3"/>
  <c r="F58" i="3"/>
  <c r="H58" i="3" s="1"/>
  <c r="M11" i="3"/>
  <c r="M12" i="3"/>
  <c r="M13" i="3"/>
  <c r="M10" i="3"/>
  <c r="M3" i="3"/>
  <c r="M4" i="3"/>
  <c r="M5" i="3"/>
  <c r="M2" i="3"/>
  <c r="E43" i="4"/>
  <c r="G43" i="4" s="1"/>
  <c r="E44" i="4"/>
  <c r="G44" i="4" s="1"/>
  <c r="M44" i="4" s="1"/>
  <c r="E45" i="4"/>
  <c r="G45" i="4"/>
  <c r="M45" i="4" s="1"/>
  <c r="G46" i="4"/>
  <c r="F47" i="4"/>
  <c r="G47" i="4"/>
  <c r="E48" i="4"/>
  <c r="G48" i="4" s="1"/>
  <c r="F48" i="4"/>
  <c r="E49" i="4"/>
  <c r="G49" i="4"/>
  <c r="M49" i="4" s="1"/>
  <c r="E50" i="4"/>
  <c r="G50" i="4"/>
  <c r="K43" i="4" s="1"/>
  <c r="E17" i="2"/>
  <c r="G17" i="2" s="1"/>
  <c r="E16" i="2"/>
  <c r="E15" i="2"/>
  <c r="G15" i="2" s="1"/>
  <c r="L33" i="5"/>
  <c r="L34" i="5"/>
  <c r="L35" i="5"/>
  <c r="L36" i="5"/>
  <c r="L37" i="5"/>
  <c r="L38" i="5"/>
  <c r="L39" i="5"/>
  <c r="L32" i="5"/>
  <c r="I23" i="2"/>
  <c r="J23" i="2" s="1"/>
  <c r="G24" i="5" s="1"/>
  <c r="L24" i="5" s="1"/>
  <c r="F21" i="5"/>
  <c r="L30" i="5"/>
  <c r="L23" i="5"/>
  <c r="L25" i="5"/>
  <c r="D5" i="3"/>
  <c r="D4" i="3"/>
  <c r="D3" i="3"/>
  <c r="D2" i="3"/>
  <c r="J53" i="3"/>
  <c r="K53" i="3" s="1"/>
  <c r="J64" i="3"/>
  <c r="H52" i="3"/>
  <c r="J52" i="3" s="1"/>
  <c r="G50" i="3"/>
  <c r="H50" i="3" s="1"/>
  <c r="J50" i="3" s="1"/>
  <c r="H44" i="3"/>
  <c r="G42" i="3"/>
  <c r="E14" i="2"/>
  <c r="G14" i="2" s="1"/>
  <c r="I14" i="2" s="1"/>
  <c r="J14" i="2" s="1"/>
  <c r="G17" i="5" s="1"/>
  <c r="E13" i="2"/>
  <c r="G13" i="2" s="1"/>
  <c r="I13" i="2" s="1"/>
  <c r="G34" i="4"/>
  <c r="H59" i="3"/>
  <c r="F43" i="3"/>
  <c r="E35" i="2"/>
  <c r="G35" i="2" s="1"/>
  <c r="E34" i="2"/>
  <c r="G34" i="2" s="1"/>
  <c r="E18" i="2"/>
  <c r="G18" i="2" s="1"/>
  <c r="G12" i="2"/>
  <c r="E11" i="2"/>
  <c r="E10" i="2"/>
  <c r="E9" i="2"/>
  <c r="G16" i="2"/>
  <c r="I22" i="2"/>
  <c r="I21" i="2"/>
  <c r="I20" i="2"/>
  <c r="F11" i="2"/>
  <c r="G11" i="2" s="1"/>
  <c r="F10" i="2"/>
  <c r="F9" i="2"/>
  <c r="E52" i="4"/>
  <c r="G52" i="4" s="1"/>
  <c r="H52" i="4" s="1"/>
  <c r="J14" i="5" s="1"/>
  <c r="L14" i="5" s="1"/>
  <c r="L7" i="5"/>
  <c r="L27" i="5"/>
  <c r="H21" i="5"/>
  <c r="H43" i="4" l="1"/>
  <c r="I18" i="5"/>
  <c r="G9" i="2"/>
  <c r="G10" i="2"/>
  <c r="J45" i="3"/>
  <c r="C50" i="3"/>
  <c r="F51" i="3"/>
  <c r="H51" i="3" s="1"/>
  <c r="J51" i="3" s="1"/>
  <c r="F49" i="3"/>
  <c r="H49" i="3" s="1"/>
  <c r="J49" i="3" s="1"/>
  <c r="C42" i="3"/>
  <c r="F41" i="3"/>
  <c r="H41" i="3" s="1"/>
  <c r="H42" i="3"/>
  <c r="J42" i="3" s="1"/>
  <c r="H43" i="3"/>
  <c r="F51" i="4"/>
  <c r="E51" i="4"/>
  <c r="G51" i="4" s="1"/>
  <c r="H51" i="4" s="1"/>
  <c r="J19" i="5" s="1"/>
  <c r="M43" i="4"/>
  <c r="M46" i="4"/>
  <c r="K29" i="5"/>
  <c r="L29" i="5" s="1"/>
  <c r="E12" i="4"/>
  <c r="G12" i="4" s="1"/>
  <c r="I12" i="4" s="1"/>
  <c r="G31" i="4" s="1"/>
  <c r="K20" i="5" s="1"/>
  <c r="L20" i="5" s="1"/>
  <c r="F22" i="4"/>
  <c r="G33" i="4" s="1"/>
  <c r="K26" i="5" s="1"/>
  <c r="L26" i="5" s="1"/>
  <c r="E20" i="4"/>
  <c r="G20" i="4" s="1"/>
  <c r="K9" i="5" s="1"/>
  <c r="G11" i="4"/>
  <c r="I11" i="4" s="1"/>
  <c r="G10" i="4"/>
  <c r="I10" i="4" s="1"/>
  <c r="J44" i="3"/>
  <c r="K64" i="3"/>
  <c r="J58" i="3"/>
  <c r="J61" i="3"/>
  <c r="J60" i="3"/>
  <c r="J59" i="3"/>
  <c r="L9" i="5" l="1"/>
  <c r="K13" i="5"/>
  <c r="G30" i="4"/>
  <c r="K18" i="5" s="1"/>
  <c r="K21" i="5" s="1"/>
  <c r="J12" i="5"/>
  <c r="L12" i="5" s="1"/>
  <c r="M50" i="4"/>
  <c r="K58" i="3"/>
  <c r="J21" i="5"/>
  <c r="J41" i="3"/>
  <c r="K45" i="3"/>
  <c r="M26" i="3" s="1"/>
  <c r="J43" i="3"/>
  <c r="M47" i="4" l="1"/>
  <c r="K41" i="4"/>
  <c r="J10" i="5" s="1"/>
  <c r="M48" i="4"/>
  <c r="I5" i="5"/>
  <c r="L5" i="5" s="1"/>
  <c r="K42" i="4"/>
  <c r="J11" i="5" s="1"/>
  <c r="L11" i="5" s="1"/>
  <c r="J20" i="2"/>
  <c r="G22" i="5" s="1"/>
  <c r="L22" i="5" s="1"/>
  <c r="J22" i="2"/>
  <c r="G8" i="5" s="1"/>
  <c r="L8" i="5" s="1"/>
  <c r="J21" i="2"/>
  <c r="G6" i="5" s="1"/>
  <c r="L6" i="5" s="1"/>
  <c r="I18" i="2"/>
  <c r="I17" i="2"/>
  <c r="I16" i="2"/>
  <c r="I15" i="2"/>
  <c r="I10" i="2"/>
  <c r="I35" i="2"/>
  <c r="I34" i="2"/>
  <c r="L10" i="5" l="1"/>
  <c r="J13" i="5"/>
  <c r="L13" i="5" s="1"/>
  <c r="K44" i="4"/>
  <c r="G53" i="4"/>
  <c r="H53" i="4" s="1"/>
  <c r="I19" i="5"/>
  <c r="J28" i="5"/>
  <c r="L28" i="5" s="1"/>
  <c r="J15" i="2"/>
  <c r="I9" i="2"/>
  <c r="I12" i="2"/>
  <c r="I19" i="2" s="1"/>
  <c r="J19" i="2" s="1"/>
  <c r="I11" i="2"/>
  <c r="J34" i="2"/>
  <c r="G31" i="5" s="1"/>
  <c r="L31" i="5" s="1"/>
  <c r="L16" i="5" l="1"/>
  <c r="G18" i="5"/>
  <c r="L18" i="5" s="1"/>
  <c r="L19" i="5"/>
  <c r="J9" i="2"/>
  <c r="G15" i="5" s="1"/>
  <c r="L17" i="5" l="1"/>
  <c r="I21" i="5"/>
  <c r="L15" i="5"/>
  <c r="G21" i="5"/>
  <c r="L21" i="5" l="1"/>
</calcChain>
</file>

<file path=xl/sharedStrings.xml><?xml version="1.0" encoding="utf-8"?>
<sst xmlns="http://schemas.openxmlformats.org/spreadsheetml/2006/main" count="375" uniqueCount="179">
  <si>
    <t>编号</t>
  </si>
  <si>
    <t>规格</t>
  </si>
  <si>
    <t>单根长</t>
  </si>
  <si>
    <t>根数</t>
  </si>
  <si>
    <t>总长</t>
  </si>
  <si>
    <t>单位重</t>
  </si>
  <si>
    <t>总重</t>
  </si>
  <si>
    <t>mm</t>
  </si>
  <si>
    <t>m</t>
  </si>
  <si>
    <t>kg/m</t>
  </si>
  <si>
    <t>kg</t>
  </si>
  <si>
    <t>合计</t>
    <phoneticPr fontId="1" type="noConversion"/>
  </si>
  <si>
    <t>1a</t>
    <phoneticPr fontId="1" type="noConversion"/>
  </si>
  <si>
    <t>mm</t>
    <phoneticPr fontId="1" type="noConversion"/>
  </si>
  <si>
    <t>3a</t>
    <phoneticPr fontId="1" type="noConversion"/>
  </si>
  <si>
    <t>3b</t>
    <phoneticPr fontId="1" type="noConversion"/>
  </si>
  <si>
    <t>桩基</t>
    <phoneticPr fontId="1" type="noConversion"/>
  </si>
  <si>
    <t>墩身</t>
    <phoneticPr fontId="1" type="noConversion"/>
  </si>
  <si>
    <t>m</t>
    <phoneticPr fontId="1" type="noConversion"/>
  </si>
  <si>
    <t>上层冷却管</t>
    <phoneticPr fontId="1" type="noConversion"/>
  </si>
  <si>
    <t>下层冷却管</t>
    <phoneticPr fontId="1" type="noConversion"/>
  </si>
  <si>
    <t>φ42.3×3.25</t>
  </si>
  <si>
    <t>合计（4）</t>
    <phoneticPr fontId="1" type="noConversion"/>
  </si>
  <si>
    <t>1b</t>
    <phoneticPr fontId="1" type="noConversion"/>
  </si>
  <si>
    <t>1c</t>
    <phoneticPr fontId="1" type="noConversion"/>
  </si>
  <si>
    <t>全桥合计(4)</t>
    <phoneticPr fontId="1" type="noConversion"/>
  </si>
  <si>
    <t xml:space="preserve"> 12冷轧带肋钢筋网（kg）</t>
    <phoneticPr fontId="1" type="noConversion"/>
  </si>
  <si>
    <t>C35混凝土（m ）</t>
    <phoneticPr fontId="1" type="noConversion"/>
  </si>
  <si>
    <t>参数</t>
    <phoneticPr fontId="1" type="noConversion"/>
  </si>
  <si>
    <t>H</t>
    <phoneticPr fontId="1" type="noConversion"/>
  </si>
  <si>
    <t>a</t>
    <phoneticPr fontId="1" type="noConversion"/>
  </si>
  <si>
    <t>C40混凝土（m ）</t>
    <phoneticPr fontId="1" type="noConversion"/>
  </si>
  <si>
    <t>适用范围</t>
    <phoneticPr fontId="1" type="noConversion"/>
  </si>
  <si>
    <t>主桥</t>
    <phoneticPr fontId="1" type="noConversion"/>
  </si>
  <si>
    <t>装饰拱肋支座</t>
    <phoneticPr fontId="1" type="noConversion"/>
  </si>
  <si>
    <t>装饰拱肋</t>
    <phoneticPr fontId="1" type="noConversion"/>
  </si>
  <si>
    <t>引桥</t>
    <phoneticPr fontId="1" type="noConversion"/>
  </si>
  <si>
    <t>单件重</t>
    <phoneticPr fontId="1" type="noConversion"/>
  </si>
  <si>
    <t>kg</t>
    <phoneticPr fontId="1" type="noConversion"/>
  </si>
  <si>
    <t>数量</t>
    <phoneticPr fontId="1" type="noConversion"/>
  </si>
  <si>
    <t>A1</t>
    <phoneticPr fontId="1" type="noConversion"/>
  </si>
  <si>
    <t>□200×5×200</t>
    <phoneticPr fontId="1" type="noConversion"/>
  </si>
  <si>
    <t>M16螺栓</t>
  </si>
  <si>
    <t>GB/T 5782-2000</t>
  </si>
  <si>
    <t>规格/牌号</t>
    <phoneticPr fontId="1" type="noConversion"/>
  </si>
  <si>
    <t>-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</si>
  <si>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</si>
  <si>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</si>
  <si>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</si>
  <si>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铜带</t>
    <phoneticPr fontId="1" type="noConversion"/>
  </si>
  <si>
    <t>材料种类</t>
    <phoneticPr fontId="1" type="noConversion"/>
  </si>
  <si>
    <t>规格</t>
    <phoneticPr fontId="1" type="noConversion"/>
  </si>
  <si>
    <t>钢筋</t>
    <phoneticPr fontId="1" type="noConversion"/>
  </si>
  <si>
    <t>钢材</t>
    <phoneticPr fontId="1" type="noConversion"/>
  </si>
  <si>
    <t>螺栓</t>
    <phoneticPr fontId="1" type="noConversion"/>
  </si>
  <si>
    <t>牌号</t>
    <phoneticPr fontId="1" type="noConversion"/>
  </si>
  <si>
    <t>HPB300</t>
  </si>
  <si>
    <t>HRB400</t>
    <phoneticPr fontId="1" type="noConversion"/>
  </si>
  <si>
    <t>1Cr18Ni12</t>
  </si>
  <si>
    <t>(GB/T 5782-2000)</t>
  </si>
  <si>
    <t>M16</t>
    <phoneticPr fontId="1" type="noConversion"/>
  </si>
  <si>
    <t>单位</t>
    <phoneticPr fontId="1" type="noConversion"/>
  </si>
  <si>
    <t>个</t>
    <phoneticPr fontId="1" type="noConversion"/>
  </si>
  <si>
    <t>全桥数量</t>
    <phoneticPr fontId="1" type="noConversion"/>
  </si>
  <si>
    <t>HG1</t>
    <phoneticPr fontId="1" type="noConversion"/>
  </si>
  <si>
    <t>W1</t>
    <phoneticPr fontId="1" type="noConversion"/>
  </si>
  <si>
    <t>预埋钢筋</t>
    <phoneticPr fontId="1" type="noConversion"/>
  </si>
  <si>
    <t>Q235C</t>
    <phoneticPr fontId="1" type="noConversion"/>
  </si>
  <si>
    <t>N3</t>
    <phoneticPr fontId="1" type="noConversion"/>
  </si>
  <si>
    <t>材料名称</t>
  </si>
  <si>
    <t>单位</t>
  </si>
  <si>
    <t>混凝土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</si>
  <si>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</si>
  <si>
    <t>C35水下</t>
  </si>
  <si>
    <t>钢筋</t>
  </si>
  <si>
    <t>HRB400</t>
  </si>
  <si>
    <t>小计</t>
  </si>
  <si>
    <t>钢筋连接器</t>
    <phoneticPr fontId="1" type="noConversion"/>
  </si>
  <si>
    <t>个</t>
  </si>
  <si>
    <t>声测管</t>
  </si>
  <si>
    <t>Q235B</t>
  </si>
  <si>
    <t>涂装</t>
    <phoneticPr fontId="3" type="noConversion"/>
  </si>
  <si>
    <t>外表面涂装</t>
    <phoneticPr fontId="3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</si>
  <si>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3" type="noConversion"/>
  </si>
  <si>
    <t>承台</t>
    <phoneticPr fontId="1" type="noConversion"/>
  </si>
  <si>
    <t>墩顶装饰</t>
    <phoneticPr fontId="1" type="noConversion"/>
  </si>
  <si>
    <t>防雷设施</t>
    <phoneticPr fontId="1" type="noConversion"/>
  </si>
  <si>
    <t>C35</t>
    <phoneticPr fontId="1" type="noConversion"/>
  </si>
  <si>
    <t>支座及垫石</t>
    <phoneticPr fontId="1" type="noConversion"/>
  </si>
  <si>
    <t>C40</t>
    <phoneticPr fontId="1" type="noConversion"/>
  </si>
  <si>
    <t>HPB300</t>
    <phoneticPr fontId="1" type="noConversion"/>
  </si>
  <si>
    <t>t=5</t>
    <phoneticPr fontId="1" type="noConversion"/>
  </si>
  <si>
    <t>1Cr18Ni12</t>
    <phoneticPr fontId="1" type="noConversion"/>
  </si>
  <si>
    <t>GB/T 5782-2000</t>
    <phoneticPr fontId="1" type="noConversion"/>
  </si>
  <si>
    <t>t=12</t>
    <phoneticPr fontId="1" type="noConversion"/>
  </si>
  <si>
    <t>t=8</t>
    <phoneticPr fontId="1" type="noConversion"/>
  </si>
  <si>
    <t>t=4</t>
    <phoneticPr fontId="1" type="noConversion"/>
  </si>
  <si>
    <t>C25封底混凝土（m ）</t>
    <phoneticPr fontId="1" type="noConversion"/>
  </si>
  <si>
    <t>爬梯钢筋</t>
    <phoneticPr fontId="1" type="noConversion"/>
  </si>
  <si>
    <t>HG2</t>
  </si>
  <si>
    <t>HG3</t>
  </si>
  <si>
    <t>N4</t>
    <phoneticPr fontId="1" type="noConversion"/>
  </si>
  <si>
    <t>预埋钢板N1</t>
    <phoneticPr fontId="1" type="noConversion"/>
  </si>
  <si>
    <t>预埋钢板N2</t>
  </si>
  <si>
    <t>全桥合计(共4个)</t>
    <phoneticPr fontId="1" type="noConversion"/>
  </si>
  <si>
    <t>7z</t>
    <phoneticPr fontId="1" type="noConversion"/>
  </si>
  <si>
    <t>7y</t>
    <phoneticPr fontId="1" type="noConversion"/>
  </si>
  <si>
    <t>8z</t>
    <phoneticPr fontId="1" type="noConversion"/>
  </si>
  <si>
    <t>8y</t>
    <phoneticPr fontId="1" type="noConversion"/>
  </si>
  <si>
    <t>支座型号</t>
    <phoneticPr fontId="1" type="noConversion"/>
  </si>
  <si>
    <t>抗剪承载能力(KN)</t>
    <phoneticPr fontId="1" type="noConversion"/>
  </si>
  <si>
    <t>摩擦系数</t>
    <phoneticPr fontId="1" type="noConversion"/>
  </si>
  <si>
    <t>cm</t>
    <phoneticPr fontId="1" type="noConversion"/>
  </si>
  <si>
    <t>4×50×1000(暂估)</t>
    <phoneticPr fontId="1" type="noConversion"/>
  </si>
  <si>
    <t>垫石尺寸cm</t>
    <phoneticPr fontId="1" type="noConversion"/>
  </si>
  <si>
    <t>7#墩引桥侧</t>
    <phoneticPr fontId="1" type="noConversion"/>
  </si>
  <si>
    <t>8#墩引桥侧</t>
    <phoneticPr fontId="1" type="noConversion"/>
  </si>
  <si>
    <t>位置</t>
    <phoneticPr fontId="1" type="noConversion"/>
  </si>
  <si>
    <t>支座高度(cm)</t>
    <phoneticPr fontId="1" type="noConversion"/>
  </si>
  <si>
    <t>支座+垫石+底板控制高度cm</t>
    <phoneticPr fontId="1" type="noConversion"/>
  </si>
  <si>
    <t>底板厚cm</t>
    <phoneticPr fontId="1" type="noConversion"/>
  </si>
  <si>
    <t>垫石高度cm</t>
    <phoneticPr fontId="1" type="noConversion"/>
  </si>
  <si>
    <t>129*123</t>
    <phoneticPr fontId="1" type="noConversion"/>
  </si>
  <si>
    <t>取值143*143</t>
    <phoneticPr fontId="1" type="noConversion"/>
  </si>
  <si>
    <t>123*123</t>
    <phoneticPr fontId="1" type="noConversion"/>
  </si>
  <si>
    <t>143*138</t>
    <phoneticPr fontId="1" type="noConversion"/>
  </si>
  <si>
    <t>138*138</t>
    <phoneticPr fontId="1" type="noConversion"/>
  </si>
  <si>
    <t>副拱支座</t>
    <phoneticPr fontId="1" type="noConversion"/>
  </si>
  <si>
    <t>90*90</t>
    <phoneticPr fontId="1" type="noConversion"/>
  </si>
  <si>
    <t>c40</t>
    <phoneticPr fontId="1" type="noConversion"/>
  </si>
  <si>
    <t>C35混凝土定位块</t>
    <phoneticPr fontId="1" type="noConversion"/>
  </si>
  <si>
    <t>φ57×3(mm)</t>
    <phoneticPr fontId="1" type="noConversion"/>
  </si>
  <si>
    <t>涂装</t>
    <phoneticPr fontId="1" type="noConversion"/>
  </si>
  <si>
    <t>28钢筋连接器</t>
    <phoneticPr fontId="1" type="noConversion"/>
  </si>
  <si>
    <t>C25封底混凝土</t>
    <phoneticPr fontId="1" type="noConversion"/>
  </si>
  <si>
    <t>12冷轧带肋钢筋网</t>
    <phoneticPr fontId="1" type="noConversion"/>
  </si>
  <si>
    <t>冷却管</t>
    <phoneticPr fontId="1" type="noConversion"/>
  </si>
  <si>
    <t>φ42.3×3.25</t>
    <phoneticPr fontId="1" type="noConversion"/>
  </si>
  <si>
    <t>支座</t>
    <phoneticPr fontId="1" type="noConversion"/>
  </si>
  <si>
    <t>支座个数</t>
    <phoneticPr fontId="1" type="noConversion"/>
  </si>
  <si>
    <t>合计（kg）</t>
    <phoneticPr fontId="1" type="noConversion"/>
  </si>
  <si>
    <t>□1650×8×6593</t>
  </si>
  <si>
    <t>□1502×8×2918</t>
  </si>
  <si>
    <t>□1145×8×1613</t>
  </si>
  <si>
    <t>□350×12×3710(平均)</t>
  </si>
  <si>
    <t>□80×8×770(平均)</t>
  </si>
  <si>
    <t>□5395×4×42513(平均)</t>
  </si>
  <si>
    <r>
      <t>涂装面积（m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</si>
  <si>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引桥支座</t>
    <phoneticPr fontId="1" type="noConversion"/>
  </si>
  <si>
    <t>主桥支座</t>
    <phoneticPr fontId="1" type="noConversion"/>
  </si>
  <si>
    <t>纵坡距离</t>
    <phoneticPr fontId="1" type="noConversion"/>
  </si>
  <si>
    <t>坡度</t>
    <phoneticPr fontId="1" type="noConversion"/>
  </si>
  <si>
    <t>高差</t>
    <phoneticPr fontId="1" type="noConversion"/>
  </si>
  <si>
    <t>7#墩主桥侧</t>
    <phoneticPr fontId="1" type="noConversion"/>
  </si>
  <si>
    <t>8#墩主桥侧</t>
    <phoneticPr fontId="1" type="noConversion"/>
  </si>
  <si>
    <t>钢板A1</t>
    <phoneticPr fontId="1" type="noConversion"/>
  </si>
  <si>
    <t>□750×40×750</t>
    <phoneticPr fontId="1" type="noConversion"/>
  </si>
  <si>
    <t>A2</t>
    <phoneticPr fontId="1" type="noConversion"/>
  </si>
  <si>
    <t>□100×5×100</t>
    <phoneticPr fontId="1" type="noConversion"/>
  </si>
  <si>
    <t>t=5mm</t>
    <phoneticPr fontId="1" type="noConversion"/>
  </si>
  <si>
    <t>20000单向</t>
  </si>
  <si>
    <t>20000单向</t>
    <phoneticPr fontId="1" type="noConversion"/>
  </si>
  <si>
    <t>20000双向</t>
  </si>
  <si>
    <t>20000双向</t>
    <phoneticPr fontId="1" type="noConversion"/>
  </si>
  <si>
    <t>27500单向</t>
  </si>
  <si>
    <t>27500单向</t>
    <phoneticPr fontId="1" type="noConversion"/>
  </si>
  <si>
    <t>27500双向</t>
  </si>
  <si>
    <t>27500双向</t>
    <phoneticPr fontId="1" type="noConversion"/>
  </si>
  <si>
    <t>4×50mm</t>
    <phoneticPr fontId="1" type="noConversion"/>
  </si>
  <si>
    <t>3000单向(副拱,位于引桥)</t>
    <phoneticPr fontId="1" type="noConversion"/>
  </si>
  <si>
    <t>□150×8×15425</t>
    <phoneticPr fontId="1" type="noConversion"/>
  </si>
  <si>
    <t>□150×8×1100</t>
    <phoneticPr fontId="1" type="noConversion"/>
  </si>
  <si>
    <t>22500单向</t>
    <phoneticPr fontId="1" type="noConversion"/>
  </si>
  <si>
    <t>22500双向</t>
    <phoneticPr fontId="1" type="noConversion"/>
  </si>
  <si>
    <t>22500固定</t>
    <phoneticPr fontId="1" type="noConversion"/>
  </si>
  <si>
    <t>137*137</t>
    <phoneticPr fontId="1" type="noConversion"/>
  </si>
  <si>
    <t>145*137</t>
    <phoneticPr fontId="1" type="noConversion"/>
  </si>
  <si>
    <t>147*137</t>
    <phoneticPr fontId="1" type="noConversion"/>
  </si>
  <si>
    <t>取值150*150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</si>
</sst>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"/>
    <numFmt numFmtId="178" formatCode="&quot;均&quot;0.0"/>
    <numFmt numFmtId="179" formatCode="&quot;全&quot;&quot;桥&quot;&quot;合&quot;&quot;计&quot;\(0\)"/>
    <numFmt numFmtId="180" formatCode="0.0_ "/>
    <numFmt numFmtId="181" formatCode="0.00000_ "/>
    <numFmt numFmtId="182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1202-B098-46D0-9242-FB4B08330557}">
  <dimension ref="C7:O103"/>
  <sheetViews>
    <sheetView workbookViewId="0">
      <selection activeCell="J9" sqref="J9:J13"/>
    </sheetView>
  </sheetViews>
  <sheetFormatPr defaultColWidth="8.875" defaultRowHeight="14.25" x14ac:dyDescent="0.2"/>
  <cols>
    <col min="1" max="2" width="8.875" style="5"/>
    <col min="3" max="3" width="11.5" style="5" customWidth="1"/>
    <col min="4" max="4" width="10.75" style="5" customWidth="1"/>
    <col min="5" max="9" width="8.875" style="5"/>
    <col min="10" max="10" width="14.375" style="5" customWidth="1"/>
    <col min="11" max="11" width="8.875" style="5"/>
    <col min="12" max="12" width="12.25" style="5" customWidth="1"/>
    <col min="13" max="13" width="13" style="5" customWidth="1"/>
    <col min="14" max="14" width="13.875" style="5" customWidth="1"/>
    <col min="15" max="15" width="15.875" style="5" customWidth="1"/>
    <col min="16" max="16384" width="8.875" style="5"/>
  </cols>
  <sheetData>
    <row r="7" spans="3:10" x14ac:dyDescent="0.2">
      <c r="C7" s="35" t="s">
        <v>0</v>
      </c>
      <c r="D7" s="1" t="s">
        <v>1</v>
      </c>
      <c r="E7" s="1" t="s">
        <v>2</v>
      </c>
      <c r="F7" s="35" t="s">
        <v>3</v>
      </c>
      <c r="G7" s="1" t="s">
        <v>4</v>
      </c>
      <c r="H7" s="1" t="s">
        <v>5</v>
      </c>
      <c r="I7" s="1" t="s">
        <v>6</v>
      </c>
      <c r="J7" s="1" t="s">
        <v>104</v>
      </c>
    </row>
    <row r="8" spans="3:10" x14ac:dyDescent="0.2">
      <c r="C8" s="35"/>
      <c r="D8" s="1" t="s">
        <v>7</v>
      </c>
      <c r="E8" s="1" t="s">
        <v>112</v>
      </c>
      <c r="F8" s="35"/>
      <c r="G8" s="1" t="s">
        <v>8</v>
      </c>
      <c r="H8" s="1" t="s">
        <v>9</v>
      </c>
      <c r="I8" s="1" t="s">
        <v>10</v>
      </c>
      <c r="J8" s="1" t="s">
        <v>10</v>
      </c>
    </row>
    <row r="9" spans="3:10" x14ac:dyDescent="0.2">
      <c r="C9" s="1">
        <v>1</v>
      </c>
      <c r="D9" s="1">
        <v>28</v>
      </c>
      <c r="E9" s="6">
        <f>(527+1334.2)/2+32.8*2</f>
        <v>996.2</v>
      </c>
      <c r="F9" s="1">
        <f>3*64</f>
        <v>192</v>
      </c>
      <c r="G9" s="2">
        <f>F9*E9/100</f>
        <v>1912.7040000000002</v>
      </c>
      <c r="H9" s="3">
        <v>4.83</v>
      </c>
      <c r="I9" s="2">
        <f t="shared" ref="I9" si="0">G9*H9</f>
        <v>9238.3603200000016</v>
      </c>
      <c r="J9" s="36">
        <f>SUM(I9:I13)*4</f>
        <v>91471.892399999997</v>
      </c>
    </row>
    <row r="10" spans="3:10" x14ac:dyDescent="0.2">
      <c r="C10" s="1" t="s">
        <v>12</v>
      </c>
      <c r="D10" s="1">
        <v>28</v>
      </c>
      <c r="E10" s="2">
        <f>724.2+32.8*2</f>
        <v>789.80000000000007</v>
      </c>
      <c r="F10" s="1">
        <f>3*49</f>
        <v>147</v>
      </c>
      <c r="G10" s="2">
        <f t="shared" ref="G10:G18" si="1">F10*E10/100</f>
        <v>1161.0060000000001</v>
      </c>
      <c r="H10" s="3">
        <v>4.83</v>
      </c>
      <c r="I10" s="2">
        <f t="shared" ref="I10:I11" si="2">G10*H10</f>
        <v>5607.6589800000002</v>
      </c>
      <c r="J10" s="36"/>
    </row>
    <row r="11" spans="3:10" ht="14.45" customHeight="1" x14ac:dyDescent="0.2">
      <c r="C11" s="1" t="s">
        <v>23</v>
      </c>
      <c r="D11" s="1">
        <v>28</v>
      </c>
      <c r="E11" s="6">
        <f>(70+772.4)/2+32.8*2</f>
        <v>486.79999999999995</v>
      </c>
      <c r="F11" s="1">
        <f>3*62</f>
        <v>186</v>
      </c>
      <c r="G11" s="2">
        <f t="shared" si="1"/>
        <v>905.44799999999987</v>
      </c>
      <c r="H11" s="3">
        <v>4.83</v>
      </c>
      <c r="I11" s="2">
        <f t="shared" si="2"/>
        <v>4373.3138399999998</v>
      </c>
      <c r="J11" s="36"/>
    </row>
    <row r="12" spans="3:10" ht="14.45" customHeight="1" x14ac:dyDescent="0.2">
      <c r="C12" s="1" t="s">
        <v>24</v>
      </c>
      <c r="D12" s="1">
        <v>28</v>
      </c>
      <c r="E12" s="6">
        <f>(85.5+8.7)/2+337.6+448.4</f>
        <v>833.1</v>
      </c>
      <c r="F12" s="1">
        <v>60</v>
      </c>
      <c r="G12" s="2">
        <f t="shared" si="1"/>
        <v>499.86</v>
      </c>
      <c r="H12" s="3">
        <v>4.83</v>
      </c>
      <c r="I12" s="2">
        <f t="shared" ref="I12:I13" si="3">G12*H12</f>
        <v>2414.3238000000001</v>
      </c>
      <c r="J12" s="36"/>
    </row>
    <row r="13" spans="3:10" ht="14.45" customHeight="1" x14ac:dyDescent="0.2">
      <c r="C13" s="1">
        <v>4</v>
      </c>
      <c r="D13" s="1">
        <v>28</v>
      </c>
      <c r="E13" s="2">
        <f>224.8+32.8*2</f>
        <v>290.39999999999998</v>
      </c>
      <c r="F13" s="1">
        <v>88</v>
      </c>
      <c r="G13" s="2">
        <f t="shared" si="1"/>
        <v>255.55199999999996</v>
      </c>
      <c r="H13" s="3">
        <v>4.83</v>
      </c>
      <c r="I13" s="2">
        <f t="shared" si="3"/>
        <v>1234.3161599999999</v>
      </c>
      <c r="J13" s="36"/>
    </row>
    <row r="14" spans="3:10" ht="14.45" customHeight="1" x14ac:dyDescent="0.2">
      <c r="C14" s="1">
        <v>2</v>
      </c>
      <c r="D14" s="1">
        <v>20</v>
      </c>
      <c r="E14" s="2">
        <f>224.8</f>
        <v>224.8</v>
      </c>
      <c r="F14" s="1">
        <v>276</v>
      </c>
      <c r="G14" s="2">
        <f t="shared" si="1"/>
        <v>620.44799999999998</v>
      </c>
      <c r="H14" s="3">
        <v>2.4700000000000002</v>
      </c>
      <c r="I14" s="2">
        <f t="shared" ref="I14:I15" si="4">G14*H14</f>
        <v>1532.50656</v>
      </c>
      <c r="J14" s="2">
        <f>I14*4</f>
        <v>6130.0262400000001</v>
      </c>
    </row>
    <row r="15" spans="3:10" ht="14.45" customHeight="1" x14ac:dyDescent="0.2">
      <c r="C15" s="1">
        <v>3</v>
      </c>
      <c r="D15" s="1">
        <v>16</v>
      </c>
      <c r="E15" s="6">
        <f>(734.8+1300)/2+18.7*2</f>
        <v>1054.8</v>
      </c>
      <c r="F15" s="1">
        <v>16</v>
      </c>
      <c r="G15" s="2">
        <f t="shared" si="1"/>
        <v>168.768</v>
      </c>
      <c r="H15" s="3">
        <v>1.58</v>
      </c>
      <c r="I15" s="2">
        <f t="shared" si="4"/>
        <v>266.65343999999999</v>
      </c>
      <c r="J15" s="37">
        <f>SUM(I15:I18)*4</f>
        <v>5624.1427199999998</v>
      </c>
    </row>
    <row r="16" spans="3:10" x14ac:dyDescent="0.2">
      <c r="C16" s="1" t="s">
        <v>14</v>
      </c>
      <c r="D16" s="1">
        <v>16</v>
      </c>
      <c r="E16" s="2">
        <f>774.2+18.7*2</f>
        <v>811.6</v>
      </c>
      <c r="F16" s="1">
        <v>12</v>
      </c>
      <c r="G16" s="2">
        <f t="shared" si="1"/>
        <v>97.39200000000001</v>
      </c>
      <c r="H16" s="3">
        <v>1.58</v>
      </c>
      <c r="I16" s="2">
        <f t="shared" ref="I16" si="5">G16*H16</f>
        <v>153.87936000000002</v>
      </c>
      <c r="J16" s="38"/>
    </row>
    <row r="17" spans="3:10" x14ac:dyDescent="0.2">
      <c r="C17" s="1" t="s">
        <v>15</v>
      </c>
      <c r="D17" s="1">
        <v>16</v>
      </c>
      <c r="E17" s="6">
        <f>(148.5+735.4)/2+18.7*2</f>
        <v>479.34999999999997</v>
      </c>
      <c r="F17" s="1">
        <v>16</v>
      </c>
      <c r="G17" s="2">
        <f t="shared" si="1"/>
        <v>76.695999999999998</v>
      </c>
      <c r="H17" s="3">
        <v>1.58</v>
      </c>
      <c r="I17" s="2">
        <f t="shared" ref="I17" si="6">G17*H17</f>
        <v>121.17968</v>
      </c>
      <c r="J17" s="38"/>
    </row>
    <row r="18" spans="3:10" x14ac:dyDescent="0.2">
      <c r="C18" s="1">
        <v>5</v>
      </c>
      <c r="D18" s="1">
        <v>16</v>
      </c>
      <c r="E18" s="2">
        <f>192+400+(53.3+448.4)*2+114.1</f>
        <v>1709.5</v>
      </c>
      <c r="F18" s="1">
        <v>32</v>
      </c>
      <c r="G18" s="2">
        <f t="shared" si="1"/>
        <v>547.04</v>
      </c>
      <c r="H18" s="3">
        <v>1.58</v>
      </c>
      <c r="I18" s="2">
        <f>G18*H18</f>
        <v>864.32319999999993</v>
      </c>
      <c r="J18" s="39"/>
    </row>
    <row r="19" spans="3:10" x14ac:dyDescent="0.2">
      <c r="C19" s="35" t="s">
        <v>140</v>
      </c>
      <c r="D19" s="35"/>
      <c r="E19" s="35"/>
      <c r="F19" s="35"/>
      <c r="G19" s="35"/>
      <c r="H19" s="35"/>
      <c r="I19" s="2">
        <f>SUM(I9:I18)</f>
        <v>25806.515339999998</v>
      </c>
      <c r="J19" s="31">
        <f>I19*4</f>
        <v>103226.06135999999</v>
      </c>
    </row>
    <row r="20" spans="3:10" x14ac:dyDescent="0.2">
      <c r="C20" s="35" t="s">
        <v>26</v>
      </c>
      <c r="D20" s="35"/>
      <c r="E20" s="35"/>
      <c r="F20" s="35"/>
      <c r="G20" s="35"/>
      <c r="H20" s="35"/>
      <c r="I20" s="2">
        <f>80.5048*17.75</f>
        <v>1428.9602</v>
      </c>
      <c r="J20" s="2">
        <f t="shared" ref="J20:J22" si="7">I20*4</f>
        <v>5715.8407999999999</v>
      </c>
    </row>
    <row r="21" spans="3:10" x14ac:dyDescent="0.2">
      <c r="C21" s="35" t="s">
        <v>27</v>
      </c>
      <c r="D21" s="35"/>
      <c r="E21" s="35"/>
      <c r="F21" s="35"/>
      <c r="G21" s="35"/>
      <c r="H21" s="35"/>
      <c r="I21" s="2">
        <f>80.5048*2.5</f>
        <v>201.262</v>
      </c>
      <c r="J21" s="2">
        <f t="shared" si="7"/>
        <v>805.048</v>
      </c>
    </row>
    <row r="22" spans="3:10" x14ac:dyDescent="0.2">
      <c r="C22" s="35" t="s">
        <v>97</v>
      </c>
      <c r="D22" s="35"/>
      <c r="E22" s="35"/>
      <c r="F22" s="35"/>
      <c r="G22" s="35"/>
      <c r="H22" s="35"/>
      <c r="I22" s="2">
        <f>80.5048*0.75</f>
        <v>60.378600000000006</v>
      </c>
      <c r="J22" s="2">
        <f t="shared" si="7"/>
        <v>241.51440000000002</v>
      </c>
    </row>
    <row r="23" spans="3:10" x14ac:dyDescent="0.2">
      <c r="C23" s="40" t="s">
        <v>133</v>
      </c>
      <c r="D23" s="40"/>
      <c r="E23" s="40"/>
      <c r="F23" s="40"/>
      <c r="G23" s="40"/>
      <c r="H23" s="40"/>
      <c r="I23" s="5">
        <f>41*3</f>
        <v>123</v>
      </c>
      <c r="J23" s="5">
        <f>I23*4</f>
        <v>492</v>
      </c>
    </row>
    <row r="24" spans="3:10" x14ac:dyDescent="0.2">
      <c r="J24" s="23"/>
    </row>
    <row r="32" spans="3:10" x14ac:dyDescent="0.2">
      <c r="C32" s="35" t="s">
        <v>0</v>
      </c>
      <c r="D32" s="1" t="s">
        <v>1</v>
      </c>
      <c r="E32" s="1" t="s">
        <v>2</v>
      </c>
      <c r="F32" s="35" t="s">
        <v>3</v>
      </c>
      <c r="G32" s="1" t="s">
        <v>4</v>
      </c>
      <c r="H32" s="1" t="s">
        <v>5</v>
      </c>
      <c r="I32" s="1" t="s">
        <v>6</v>
      </c>
      <c r="J32" s="1" t="s">
        <v>22</v>
      </c>
    </row>
    <row r="33" spans="3:10" x14ac:dyDescent="0.2">
      <c r="C33" s="35"/>
      <c r="D33" s="1" t="s">
        <v>7</v>
      </c>
      <c r="E33" s="1" t="s">
        <v>112</v>
      </c>
      <c r="F33" s="35"/>
      <c r="G33" s="1" t="s">
        <v>8</v>
      </c>
      <c r="H33" s="1" t="s">
        <v>9</v>
      </c>
      <c r="I33" s="1" t="s">
        <v>10</v>
      </c>
      <c r="J33" s="1" t="s">
        <v>10</v>
      </c>
    </row>
    <row r="34" spans="3:10" x14ac:dyDescent="0.2">
      <c r="C34" s="1" t="s">
        <v>19</v>
      </c>
      <c r="D34" s="1" t="s">
        <v>21</v>
      </c>
      <c r="E34" s="1">
        <f>7349.6+12.5*2</f>
        <v>7374.6</v>
      </c>
      <c r="F34" s="1">
        <v>1</v>
      </c>
      <c r="G34" s="2">
        <f>F34*E34/100</f>
        <v>73.746000000000009</v>
      </c>
      <c r="H34" s="1">
        <v>3.13</v>
      </c>
      <c r="I34" s="2">
        <f t="shared" ref="I34:I35" si="8">G34*H34</f>
        <v>230.82498000000001</v>
      </c>
      <c r="J34" s="36">
        <f>(I34+I35)*4</f>
        <v>1807.7002</v>
      </c>
    </row>
    <row r="35" spans="3:10" x14ac:dyDescent="0.2">
      <c r="C35" s="1" t="s">
        <v>20</v>
      </c>
      <c r="D35" s="1" t="s">
        <v>21</v>
      </c>
      <c r="E35" s="1">
        <f>7018.9+22.5*2</f>
        <v>7063.9</v>
      </c>
      <c r="F35" s="1">
        <v>1</v>
      </c>
      <c r="G35" s="2">
        <f>F35*E35/100</f>
        <v>70.638999999999996</v>
      </c>
      <c r="H35" s="1">
        <v>3.13</v>
      </c>
      <c r="I35" s="2">
        <f t="shared" si="8"/>
        <v>221.10006999999999</v>
      </c>
      <c r="J35" s="36"/>
    </row>
    <row r="57" spans="12:14" x14ac:dyDescent="0.2">
      <c r="L57" s="18"/>
      <c r="M57" s="18"/>
      <c r="N57" s="18"/>
    </row>
    <row r="58" spans="12:14" x14ac:dyDescent="0.2">
      <c r="L58" s="18"/>
      <c r="M58" s="18"/>
      <c r="N58" s="18"/>
    </row>
    <row r="59" spans="12:14" x14ac:dyDescent="0.2">
      <c r="L59" s="18"/>
      <c r="M59" s="18"/>
      <c r="N59" s="18"/>
    </row>
    <row r="60" spans="12:14" x14ac:dyDescent="0.2">
      <c r="L60" s="18"/>
      <c r="M60" s="18"/>
      <c r="N60" s="18"/>
    </row>
    <row r="61" spans="12:14" x14ac:dyDescent="0.2">
      <c r="L61" s="18"/>
      <c r="M61" s="18"/>
      <c r="N61" s="18"/>
    </row>
    <row r="62" spans="12:14" x14ac:dyDescent="0.2">
      <c r="L62" s="18"/>
      <c r="M62" s="18"/>
      <c r="N62" s="18"/>
    </row>
    <row r="63" spans="12:14" x14ac:dyDescent="0.2">
      <c r="L63" s="18"/>
      <c r="M63" s="18"/>
      <c r="N63" s="18"/>
    </row>
    <row r="71" spans="13:15" x14ac:dyDescent="0.2">
      <c r="M71" s="18"/>
      <c r="N71" s="18"/>
      <c r="O71" s="18"/>
    </row>
    <row r="72" spans="13:15" x14ac:dyDescent="0.2">
      <c r="M72" s="18"/>
      <c r="N72" s="18"/>
      <c r="O72" s="18"/>
    </row>
    <row r="73" spans="13:15" x14ac:dyDescent="0.2">
      <c r="M73" s="18"/>
      <c r="N73" s="18"/>
      <c r="O73" s="18"/>
    </row>
    <row r="74" spans="13:15" x14ac:dyDescent="0.2">
      <c r="M74" s="18"/>
      <c r="N74" s="18"/>
      <c r="O74" s="18"/>
    </row>
    <row r="75" spans="13:15" x14ac:dyDescent="0.2">
      <c r="M75" s="18"/>
      <c r="N75" s="18"/>
      <c r="O75" s="18"/>
    </row>
    <row r="76" spans="13:15" x14ac:dyDescent="0.2">
      <c r="M76" s="18"/>
      <c r="N76" s="18"/>
      <c r="O76" s="18"/>
    </row>
    <row r="77" spans="13:15" x14ac:dyDescent="0.2">
      <c r="M77" s="18"/>
      <c r="N77" s="18"/>
      <c r="O77" s="18"/>
    </row>
    <row r="83" spans="13:15" x14ac:dyDescent="0.2">
      <c r="M83" s="18"/>
      <c r="N83" s="18"/>
      <c r="O83" s="18"/>
    </row>
    <row r="84" spans="13:15" x14ac:dyDescent="0.2">
      <c r="M84" s="18"/>
      <c r="N84" s="18"/>
      <c r="O84" s="18"/>
    </row>
    <row r="85" spans="13:15" x14ac:dyDescent="0.2">
      <c r="M85" s="18"/>
      <c r="N85" s="18"/>
      <c r="O85" s="18"/>
    </row>
    <row r="86" spans="13:15" x14ac:dyDescent="0.2">
      <c r="M86" s="18"/>
      <c r="N86" s="18"/>
      <c r="O86" s="18"/>
    </row>
    <row r="87" spans="13:15" x14ac:dyDescent="0.2">
      <c r="M87" s="18"/>
      <c r="N87" s="18"/>
      <c r="O87" s="18"/>
    </row>
    <row r="88" spans="13:15" x14ac:dyDescent="0.2">
      <c r="M88" s="18"/>
      <c r="N88" s="18"/>
      <c r="O88" s="18"/>
    </row>
    <row r="89" spans="13:15" x14ac:dyDescent="0.2">
      <c r="M89" s="18"/>
      <c r="N89" s="18"/>
      <c r="O89" s="18"/>
    </row>
    <row r="97" spans="13:15" x14ac:dyDescent="0.2">
      <c r="M97" s="18"/>
      <c r="N97" s="18"/>
      <c r="O97" s="18"/>
    </row>
    <row r="98" spans="13:15" x14ac:dyDescent="0.2">
      <c r="M98" s="18"/>
      <c r="N98" s="18"/>
      <c r="O98" s="18"/>
    </row>
    <row r="99" spans="13:15" x14ac:dyDescent="0.2">
      <c r="M99" s="18"/>
      <c r="N99" s="18"/>
      <c r="O99" s="18"/>
    </row>
    <row r="100" spans="13:15" x14ac:dyDescent="0.2">
      <c r="M100" s="18"/>
      <c r="N100" s="18"/>
      <c r="O100" s="18"/>
    </row>
    <row r="101" spans="13:15" x14ac:dyDescent="0.2">
      <c r="M101" s="18"/>
      <c r="N101" s="18"/>
      <c r="O101" s="18"/>
    </row>
    <row r="102" spans="13:15" x14ac:dyDescent="0.2">
      <c r="M102" s="18"/>
      <c r="N102" s="18"/>
      <c r="O102" s="18"/>
    </row>
    <row r="103" spans="13:15" x14ac:dyDescent="0.2">
      <c r="M103" s="18"/>
      <c r="N103" s="18"/>
      <c r="O103" s="18"/>
    </row>
  </sheetData>
  <mergeCells count="12">
    <mergeCell ref="C21:H21"/>
    <mergeCell ref="C22:H22"/>
    <mergeCell ref="C32:C33"/>
    <mergeCell ref="F32:F33"/>
    <mergeCell ref="J34:J35"/>
    <mergeCell ref="C23:H23"/>
    <mergeCell ref="C20:H20"/>
    <mergeCell ref="C7:C8"/>
    <mergeCell ref="F7:F8"/>
    <mergeCell ref="J9:J13"/>
    <mergeCell ref="J15:J18"/>
    <mergeCell ref="C19:H19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E308-7213-43EB-97C9-9A4446B1A48E}">
  <dimension ref="A1:P64"/>
  <sheetViews>
    <sheetView zoomScaleNormal="100" workbookViewId="0">
      <selection activeCell="M26" sqref="M26"/>
    </sheetView>
  </sheetViews>
  <sheetFormatPr defaultColWidth="8.875" defaultRowHeight="14.25" x14ac:dyDescent="0.2"/>
  <cols>
    <col min="1" max="1" width="12.25" style="5" customWidth="1"/>
    <col min="2" max="2" width="12.375" style="5" customWidth="1"/>
    <col min="3" max="3" width="16.5" style="5" customWidth="1"/>
    <col min="4" max="4" width="11.5" style="5" customWidth="1"/>
    <col min="5" max="5" width="14.25" style="5" customWidth="1"/>
    <col min="6" max="6" width="12.625" style="5" customWidth="1"/>
    <col min="7" max="7" width="12.25" style="5" customWidth="1"/>
    <col min="8" max="8" width="14.125" style="5" customWidth="1"/>
    <col min="9" max="9" width="14.375" style="5" customWidth="1"/>
    <col min="10" max="10" width="8.875" style="5"/>
    <col min="11" max="11" width="12.625" style="5" customWidth="1"/>
    <col min="12" max="12" width="11.5" style="5" bestFit="1" customWidth="1"/>
    <col min="13" max="13" width="12.625" style="5" bestFit="1" customWidth="1"/>
    <col min="14" max="14" width="11.5" style="5" customWidth="1"/>
    <col min="15" max="16384" width="8.875" style="5"/>
  </cols>
  <sheetData>
    <row r="1" spans="1:16" x14ac:dyDescent="0.2">
      <c r="A1" s="47" t="s">
        <v>117</v>
      </c>
      <c r="B1" s="47"/>
      <c r="C1" s="5" t="s">
        <v>109</v>
      </c>
      <c r="D1" s="5" t="s">
        <v>110</v>
      </c>
      <c r="E1" s="5" t="s">
        <v>118</v>
      </c>
      <c r="F1" s="5" t="s">
        <v>111</v>
      </c>
      <c r="G1" s="47" t="s">
        <v>114</v>
      </c>
      <c r="H1" s="47"/>
      <c r="J1" s="5" t="s">
        <v>119</v>
      </c>
      <c r="K1" s="5" t="s">
        <v>120</v>
      </c>
      <c r="L1" s="5" t="s">
        <v>152</v>
      </c>
      <c r="M1" s="5" t="s">
        <v>121</v>
      </c>
      <c r="N1" s="5" t="s">
        <v>139</v>
      </c>
      <c r="O1" s="5" t="s">
        <v>150</v>
      </c>
      <c r="P1" s="5" t="s">
        <v>151</v>
      </c>
    </row>
    <row r="2" spans="1:16" x14ac:dyDescent="0.2">
      <c r="A2" s="48" t="s">
        <v>148</v>
      </c>
      <c r="B2" s="5" t="s">
        <v>105</v>
      </c>
      <c r="C2" s="5" t="s">
        <v>161</v>
      </c>
      <c r="D2" s="5">
        <f>20000*0.15</f>
        <v>3000</v>
      </c>
      <c r="E2" s="7">
        <v>25</v>
      </c>
      <c r="F2" s="5">
        <v>0.03</v>
      </c>
      <c r="G2" s="5" t="s">
        <v>122</v>
      </c>
      <c r="H2" s="44" t="s">
        <v>123</v>
      </c>
      <c r="J2" s="7">
        <v>60</v>
      </c>
      <c r="L2" s="5">
        <v>-1.3443000000000001</v>
      </c>
      <c r="M2" s="33">
        <f>J2-E2+L2</f>
        <v>33.655700000000003</v>
      </c>
      <c r="N2" s="5">
        <v>1</v>
      </c>
    </row>
    <row r="3" spans="1:16" x14ac:dyDescent="0.2">
      <c r="A3" s="48"/>
      <c r="B3" s="5" t="s">
        <v>106</v>
      </c>
      <c r="C3" s="5" t="s">
        <v>163</v>
      </c>
      <c r="D3" s="5">
        <f>20000*0.15</f>
        <v>3000</v>
      </c>
      <c r="E3" s="7">
        <v>25</v>
      </c>
      <c r="F3" s="5">
        <v>0.03</v>
      </c>
      <c r="G3" s="5" t="s">
        <v>124</v>
      </c>
      <c r="H3" s="45"/>
      <c r="J3" s="7">
        <v>60</v>
      </c>
      <c r="L3" s="5">
        <v>-1.3443000000000001</v>
      </c>
      <c r="M3" s="33">
        <f t="shared" ref="M3:M5" si="0">J3-E3+L3</f>
        <v>33.655700000000003</v>
      </c>
      <c r="N3" s="5">
        <v>1</v>
      </c>
    </row>
    <row r="4" spans="1:16" x14ac:dyDescent="0.2">
      <c r="A4" s="48"/>
      <c r="B4" s="5" t="s">
        <v>107</v>
      </c>
      <c r="C4" s="5" t="s">
        <v>165</v>
      </c>
      <c r="D4" s="5">
        <f>27500*0.15</f>
        <v>4125</v>
      </c>
      <c r="E4" s="7">
        <v>29.5</v>
      </c>
      <c r="F4" s="5">
        <v>0.03</v>
      </c>
      <c r="G4" s="5" t="s">
        <v>125</v>
      </c>
      <c r="H4" s="45"/>
      <c r="J4" s="7">
        <v>60</v>
      </c>
      <c r="L4" s="5">
        <v>-2.89</v>
      </c>
      <c r="M4" s="33">
        <f t="shared" si="0"/>
        <v>27.61</v>
      </c>
      <c r="N4" s="5">
        <v>1</v>
      </c>
    </row>
    <row r="5" spans="1:16" x14ac:dyDescent="0.2">
      <c r="A5" s="48"/>
      <c r="B5" s="5" t="s">
        <v>108</v>
      </c>
      <c r="C5" s="5" t="s">
        <v>167</v>
      </c>
      <c r="D5" s="5">
        <f>27500*0.15</f>
        <v>4125</v>
      </c>
      <c r="E5" s="7">
        <v>29.5</v>
      </c>
      <c r="F5" s="5">
        <v>0.03</v>
      </c>
      <c r="G5" s="5" t="s">
        <v>126</v>
      </c>
      <c r="H5" s="45"/>
      <c r="J5" s="7">
        <v>60</v>
      </c>
      <c r="L5" s="5">
        <v>-2.89</v>
      </c>
      <c r="M5" s="33">
        <f t="shared" si="0"/>
        <v>27.61</v>
      </c>
      <c r="N5" s="5">
        <v>1</v>
      </c>
    </row>
    <row r="9" spans="1:16" x14ac:dyDescent="0.2">
      <c r="A9" s="47" t="s">
        <v>117</v>
      </c>
      <c r="B9" s="47"/>
      <c r="C9" s="5" t="s">
        <v>109</v>
      </c>
      <c r="D9" s="5" t="s">
        <v>110</v>
      </c>
      <c r="E9" s="5" t="s">
        <v>118</v>
      </c>
      <c r="F9" s="5" t="s">
        <v>111</v>
      </c>
      <c r="G9" s="47" t="s">
        <v>114</v>
      </c>
      <c r="H9" s="47"/>
      <c r="J9" s="5" t="s">
        <v>119</v>
      </c>
      <c r="K9" s="5" t="s">
        <v>120</v>
      </c>
      <c r="M9" s="5" t="s">
        <v>121</v>
      </c>
      <c r="N9" s="5" t="s">
        <v>139</v>
      </c>
    </row>
    <row r="10" spans="1:16" x14ac:dyDescent="0.2">
      <c r="A10" s="43" t="s">
        <v>149</v>
      </c>
      <c r="B10" s="5" t="s">
        <v>105</v>
      </c>
      <c r="C10" s="5" t="s">
        <v>172</v>
      </c>
      <c r="D10" s="5">
        <f>22500*0.15</f>
        <v>3375</v>
      </c>
      <c r="E10" s="5">
        <v>26.5</v>
      </c>
      <c r="F10" s="5">
        <v>0.03</v>
      </c>
      <c r="G10" s="5" t="s">
        <v>176</v>
      </c>
      <c r="H10" s="44" t="s">
        <v>178</v>
      </c>
      <c r="J10" s="7">
        <v>60</v>
      </c>
      <c r="K10" s="5">
        <f>3.6+4</f>
        <v>7.6</v>
      </c>
      <c r="L10" s="5">
        <v>0.63400000000000001</v>
      </c>
      <c r="M10" s="33">
        <f>J10-E10-K10+L10</f>
        <v>26.533999999999999</v>
      </c>
      <c r="N10" s="5">
        <v>1</v>
      </c>
    </row>
    <row r="11" spans="1:16" x14ac:dyDescent="0.2">
      <c r="A11" s="43"/>
      <c r="B11" s="5" t="s">
        <v>106</v>
      </c>
      <c r="C11" s="5" t="s">
        <v>173</v>
      </c>
      <c r="D11" s="5">
        <f t="shared" ref="D11:D13" si="1">22500*0.15</f>
        <v>3375</v>
      </c>
      <c r="E11" s="5">
        <v>26.5</v>
      </c>
      <c r="F11" s="5">
        <v>0.03</v>
      </c>
      <c r="G11" s="5" t="s">
        <v>175</v>
      </c>
      <c r="H11" s="45"/>
      <c r="J11" s="7">
        <v>60</v>
      </c>
      <c r="K11" s="5">
        <f>3.6+4</f>
        <v>7.6</v>
      </c>
      <c r="L11" s="5">
        <v>0.63400000000000001</v>
      </c>
      <c r="M11" s="33">
        <f t="shared" ref="M11:M13" si="2">J11-E11-K11+L11</f>
        <v>26.533999999999999</v>
      </c>
      <c r="N11" s="5">
        <v>1</v>
      </c>
    </row>
    <row r="12" spans="1:16" x14ac:dyDescent="0.2">
      <c r="A12" s="43"/>
      <c r="B12" s="5" t="s">
        <v>107</v>
      </c>
      <c r="C12" s="5" t="s">
        <v>174</v>
      </c>
      <c r="D12" s="5">
        <f t="shared" si="1"/>
        <v>3375</v>
      </c>
      <c r="E12" s="5">
        <v>26.5</v>
      </c>
      <c r="F12" s="5">
        <v>0.03</v>
      </c>
      <c r="G12" s="5" t="s">
        <v>177</v>
      </c>
      <c r="H12" s="45"/>
      <c r="J12" s="7">
        <v>60</v>
      </c>
      <c r="K12" s="5">
        <f>3.6+4</f>
        <v>7.6</v>
      </c>
      <c r="L12" s="5">
        <v>1.3859999999999999</v>
      </c>
      <c r="M12" s="33">
        <f t="shared" si="2"/>
        <v>27.285999999999998</v>
      </c>
      <c r="N12" s="5">
        <v>1</v>
      </c>
    </row>
    <row r="13" spans="1:16" x14ac:dyDescent="0.2">
      <c r="A13" s="43"/>
      <c r="B13" s="5" t="s">
        <v>108</v>
      </c>
      <c r="C13" s="5" t="s">
        <v>172</v>
      </c>
      <c r="D13" s="5">
        <f t="shared" si="1"/>
        <v>3375</v>
      </c>
      <c r="E13" s="5">
        <v>26.5</v>
      </c>
      <c r="F13" s="5">
        <v>0.03</v>
      </c>
      <c r="G13" s="5" t="s">
        <v>176</v>
      </c>
      <c r="H13" s="45"/>
      <c r="J13" s="7">
        <v>60</v>
      </c>
      <c r="K13" s="5">
        <f>3.6+4</f>
        <v>7.6</v>
      </c>
      <c r="L13" s="5">
        <v>1.3859999999999999</v>
      </c>
      <c r="M13" s="33">
        <f t="shared" si="2"/>
        <v>27.285999999999998</v>
      </c>
      <c r="N13" s="5">
        <v>1</v>
      </c>
    </row>
    <row r="17" spans="1:14" x14ac:dyDescent="0.2">
      <c r="A17" s="46" t="s">
        <v>127</v>
      </c>
      <c r="B17" s="46"/>
      <c r="D17" s="5">
        <v>450</v>
      </c>
      <c r="E17" s="7">
        <v>29</v>
      </c>
      <c r="F17" s="5">
        <v>0.03</v>
      </c>
      <c r="G17" s="47" t="s">
        <v>128</v>
      </c>
      <c r="H17" s="47"/>
      <c r="J17" s="7"/>
      <c r="M17" s="22">
        <f>58.9-E17</f>
        <v>29.9</v>
      </c>
      <c r="N17" s="5">
        <v>4</v>
      </c>
    </row>
    <row r="20" spans="1:14" x14ac:dyDescent="0.2">
      <c r="A20" s="19"/>
    </row>
    <row r="21" spans="1:14" x14ac:dyDescent="0.2">
      <c r="A21" s="19"/>
    </row>
    <row r="22" spans="1:14" x14ac:dyDescent="0.2">
      <c r="A22" s="48" t="s">
        <v>33</v>
      </c>
      <c r="B22" s="35" t="s">
        <v>28</v>
      </c>
      <c r="C22" s="35"/>
      <c r="D22" s="35" t="s">
        <v>0</v>
      </c>
      <c r="E22" s="1" t="s">
        <v>1</v>
      </c>
      <c r="F22" s="1" t="s">
        <v>2</v>
      </c>
      <c r="G22" s="35" t="s">
        <v>3</v>
      </c>
      <c r="H22" s="1" t="s">
        <v>4</v>
      </c>
      <c r="I22" s="1" t="s">
        <v>5</v>
      </c>
      <c r="J22" s="1" t="s">
        <v>6</v>
      </c>
      <c r="K22" s="8">
        <v>2</v>
      </c>
      <c r="L22" s="41" t="s">
        <v>11</v>
      </c>
      <c r="M22" s="42"/>
    </row>
    <row r="23" spans="1:14" x14ac:dyDescent="0.2">
      <c r="A23" s="48"/>
      <c r="B23" s="35" t="s">
        <v>112</v>
      </c>
      <c r="C23" s="35"/>
      <c r="D23" s="35"/>
      <c r="E23" s="1" t="s">
        <v>7</v>
      </c>
      <c r="F23" s="1" t="s">
        <v>112</v>
      </c>
      <c r="G23" s="35"/>
      <c r="H23" s="1" t="s">
        <v>8</v>
      </c>
      <c r="I23" s="1" t="s">
        <v>9</v>
      </c>
      <c r="J23" s="1" t="s">
        <v>10</v>
      </c>
      <c r="K23" s="1" t="s">
        <v>10</v>
      </c>
      <c r="L23" s="17"/>
      <c r="M23" s="24"/>
    </row>
    <row r="24" spans="1:14" x14ac:dyDescent="0.2">
      <c r="A24" s="48"/>
      <c r="B24" s="1" t="s">
        <v>29</v>
      </c>
      <c r="C24" s="1">
        <v>26.53</v>
      </c>
      <c r="D24" s="1">
        <v>1</v>
      </c>
      <c r="E24" s="1">
        <v>16</v>
      </c>
      <c r="F24" s="2">
        <f>2*C24+301.8</f>
        <v>354.86</v>
      </c>
      <c r="G24" s="1">
        <v>28</v>
      </c>
      <c r="H24" s="2">
        <f>G24*F24/100</f>
        <v>99.360799999999998</v>
      </c>
      <c r="I24" s="3">
        <v>1.58</v>
      </c>
      <c r="J24" s="2">
        <f t="shared" ref="J24:J27" si="3">H24*I24</f>
        <v>156.99006399999999</v>
      </c>
      <c r="K24" s="34">
        <f>J24*K22</f>
        <v>313.98012799999998</v>
      </c>
      <c r="L24" s="17">
        <v>16</v>
      </c>
      <c r="M24" s="24">
        <f>K24+K32+K41+K49+K62</f>
        <v>1389.7793760000002</v>
      </c>
    </row>
    <row r="25" spans="1:14" x14ac:dyDescent="0.2">
      <c r="A25" s="48"/>
      <c r="B25" s="1" t="s">
        <v>30</v>
      </c>
      <c r="C25" s="1">
        <f>C24-5.7-5-15</f>
        <v>0.83000000000000185</v>
      </c>
      <c r="D25" s="1">
        <v>2</v>
      </c>
      <c r="E25" s="1">
        <v>12</v>
      </c>
      <c r="F25" s="2">
        <f>138.6+14.1*2</f>
        <v>166.79999999999998</v>
      </c>
      <c r="G25" s="1">
        <v>84</v>
      </c>
      <c r="H25" s="2">
        <f t="shared" ref="H25:H27" si="4">G25*F25/100</f>
        <v>140.11199999999999</v>
      </c>
      <c r="I25" s="3">
        <v>0.88800000000000001</v>
      </c>
      <c r="J25" s="2">
        <f t="shared" si="3"/>
        <v>124.419456</v>
      </c>
      <c r="K25" s="37">
        <f>SUM(J25:J27)*K22</f>
        <v>371.82282720000001</v>
      </c>
      <c r="L25" s="17">
        <v>12</v>
      </c>
      <c r="M25" s="24">
        <f>K25+K33+K42+K50+K58</f>
        <v>1787.3468640000001</v>
      </c>
    </row>
    <row r="26" spans="1:14" ht="14.45" customHeight="1" x14ac:dyDescent="0.2">
      <c r="A26" s="48"/>
      <c r="B26" s="35" t="s">
        <v>32</v>
      </c>
      <c r="C26" s="35"/>
      <c r="D26" s="1">
        <v>3</v>
      </c>
      <c r="E26" s="1">
        <v>12</v>
      </c>
      <c r="F26" s="2">
        <f>C24+78.4</f>
        <v>104.93</v>
      </c>
      <c r="G26" s="1">
        <v>49</v>
      </c>
      <c r="H26" s="2">
        <f t="shared" si="4"/>
        <v>51.415700000000008</v>
      </c>
      <c r="I26" s="3">
        <v>0.88800000000000001</v>
      </c>
      <c r="J26" s="2">
        <f t="shared" si="3"/>
        <v>45.65714160000001</v>
      </c>
      <c r="K26" s="38"/>
      <c r="L26" s="17" t="s">
        <v>129</v>
      </c>
      <c r="M26" s="24">
        <f>K28+K45+K53+K64+K36</f>
        <v>5.8964804599999994</v>
      </c>
    </row>
    <row r="27" spans="1:14" ht="14.45" customHeight="1" x14ac:dyDescent="0.2">
      <c r="A27" s="48"/>
      <c r="B27" s="51" t="s">
        <v>153</v>
      </c>
      <c r="C27" s="52"/>
      <c r="D27" s="1">
        <v>4</v>
      </c>
      <c r="E27" s="1">
        <v>12</v>
      </c>
      <c r="F27" s="2">
        <f>138.6*4+40</f>
        <v>594.4</v>
      </c>
      <c r="G27" s="1">
        <v>3</v>
      </c>
      <c r="H27" s="2">
        <f t="shared" si="4"/>
        <v>17.831999999999997</v>
      </c>
      <c r="I27" s="3">
        <v>0.88800000000000001</v>
      </c>
      <c r="J27" s="2">
        <f t="shared" si="3"/>
        <v>15.834815999999998</v>
      </c>
      <c r="K27" s="39"/>
    </row>
    <row r="28" spans="1:14" x14ac:dyDescent="0.2">
      <c r="A28" s="48"/>
      <c r="B28" s="53"/>
      <c r="C28" s="54"/>
      <c r="D28" s="35" t="s">
        <v>31</v>
      </c>
      <c r="E28" s="35"/>
      <c r="F28" s="35"/>
      <c r="G28" s="35"/>
      <c r="H28" s="35"/>
      <c r="I28" s="35"/>
      <c r="J28" s="10">
        <f>1.5^2*(C24/100)</f>
        <v>0.59692500000000004</v>
      </c>
      <c r="K28" s="10">
        <f>J28*K22</f>
        <v>1.1938500000000001</v>
      </c>
    </row>
    <row r="29" spans="1:14" x14ac:dyDescent="0.2">
      <c r="A29" s="48"/>
      <c r="B29" s="21"/>
      <c r="C29" s="21"/>
      <c r="J29" s="32"/>
      <c r="K29" s="32"/>
    </row>
    <row r="30" spans="1:14" x14ac:dyDescent="0.2">
      <c r="A30" s="48"/>
      <c r="B30" s="35" t="s">
        <v>28</v>
      </c>
      <c r="C30" s="35"/>
      <c r="D30" s="35" t="s">
        <v>0</v>
      </c>
      <c r="E30" s="1" t="s">
        <v>1</v>
      </c>
      <c r="F30" s="1" t="s">
        <v>2</v>
      </c>
      <c r="G30" s="35" t="s">
        <v>3</v>
      </c>
      <c r="H30" s="1" t="s">
        <v>4</v>
      </c>
      <c r="I30" s="1" t="s">
        <v>5</v>
      </c>
      <c r="J30" s="1" t="s">
        <v>6</v>
      </c>
      <c r="K30" s="8">
        <v>2</v>
      </c>
    </row>
    <row r="31" spans="1:14" x14ac:dyDescent="0.2">
      <c r="A31" s="48"/>
      <c r="B31" s="35" t="s">
        <v>112</v>
      </c>
      <c r="C31" s="35"/>
      <c r="D31" s="35"/>
      <c r="E31" s="1" t="s">
        <v>7</v>
      </c>
      <c r="F31" s="1" t="s">
        <v>112</v>
      </c>
      <c r="G31" s="35"/>
      <c r="H31" s="1" t="s">
        <v>8</v>
      </c>
      <c r="I31" s="1" t="s">
        <v>9</v>
      </c>
      <c r="J31" s="1" t="s">
        <v>10</v>
      </c>
      <c r="K31" s="1" t="s">
        <v>10</v>
      </c>
    </row>
    <row r="32" spans="1:14" x14ac:dyDescent="0.2">
      <c r="A32" s="48"/>
      <c r="B32" s="1" t="s">
        <v>29</v>
      </c>
      <c r="C32" s="1">
        <v>27.29</v>
      </c>
      <c r="D32" s="1">
        <v>1</v>
      </c>
      <c r="E32" s="1">
        <v>16</v>
      </c>
      <c r="F32" s="2">
        <f>2*C32+301.8</f>
        <v>356.38</v>
      </c>
      <c r="G32" s="1">
        <v>28</v>
      </c>
      <c r="H32" s="2">
        <f>G32*F32/100</f>
        <v>99.7864</v>
      </c>
      <c r="I32" s="3">
        <v>1.58</v>
      </c>
      <c r="J32" s="2">
        <f t="shared" ref="J32:J35" si="5">H32*I32</f>
        <v>157.66251200000002</v>
      </c>
      <c r="K32" s="34">
        <f>J32*K30</f>
        <v>315.32502400000004</v>
      </c>
    </row>
    <row r="33" spans="1:11" x14ac:dyDescent="0.2">
      <c r="A33" s="48"/>
      <c r="B33" s="1" t="s">
        <v>30</v>
      </c>
      <c r="C33" s="1">
        <f>C32-5.7-5-15</f>
        <v>1.5899999999999999</v>
      </c>
      <c r="D33" s="1">
        <v>2</v>
      </c>
      <c r="E33" s="1">
        <v>12</v>
      </c>
      <c r="F33" s="2">
        <f>138.6+14.1*2</f>
        <v>166.79999999999998</v>
      </c>
      <c r="G33" s="1">
        <v>84</v>
      </c>
      <c r="H33" s="2">
        <f t="shared" ref="H33:H35" si="6">G33*F33/100</f>
        <v>140.11199999999999</v>
      </c>
      <c r="I33" s="3">
        <v>0.88800000000000001</v>
      </c>
      <c r="J33" s="2">
        <f t="shared" si="5"/>
        <v>124.419456</v>
      </c>
      <c r="K33" s="37">
        <f>SUM(J33:J35)*K30</f>
        <v>372.48420959999999</v>
      </c>
    </row>
    <row r="34" spans="1:11" x14ac:dyDescent="0.2">
      <c r="A34" s="48"/>
      <c r="B34" s="35" t="s">
        <v>32</v>
      </c>
      <c r="C34" s="35"/>
      <c r="D34" s="1">
        <v>3</v>
      </c>
      <c r="E34" s="1">
        <v>12</v>
      </c>
      <c r="F34" s="2">
        <f>C32+78.4</f>
        <v>105.69</v>
      </c>
      <c r="G34" s="1">
        <v>49</v>
      </c>
      <c r="H34" s="2">
        <f t="shared" si="6"/>
        <v>51.788099999999993</v>
      </c>
      <c r="I34" s="3">
        <v>0.88800000000000001</v>
      </c>
      <c r="J34" s="2">
        <f t="shared" si="5"/>
        <v>45.987832799999993</v>
      </c>
      <c r="K34" s="38"/>
    </row>
    <row r="35" spans="1:11" x14ac:dyDescent="0.2">
      <c r="A35" s="48"/>
      <c r="B35" s="51" t="s">
        <v>154</v>
      </c>
      <c r="C35" s="52"/>
      <c r="D35" s="1">
        <v>4</v>
      </c>
      <c r="E35" s="1">
        <v>12</v>
      </c>
      <c r="F35" s="2">
        <f>138.6*4+40</f>
        <v>594.4</v>
      </c>
      <c r="G35" s="1">
        <v>3</v>
      </c>
      <c r="H35" s="2">
        <f t="shared" si="6"/>
        <v>17.831999999999997</v>
      </c>
      <c r="I35" s="3">
        <v>0.88800000000000001</v>
      </c>
      <c r="J35" s="2">
        <f t="shared" si="5"/>
        <v>15.834815999999998</v>
      </c>
      <c r="K35" s="39"/>
    </row>
    <row r="36" spans="1:11" x14ac:dyDescent="0.2">
      <c r="A36" s="48"/>
      <c r="B36" s="53"/>
      <c r="C36" s="54"/>
      <c r="D36" s="35" t="s">
        <v>31</v>
      </c>
      <c r="E36" s="35"/>
      <c r="F36" s="35"/>
      <c r="G36" s="35"/>
      <c r="H36" s="35"/>
      <c r="I36" s="35"/>
      <c r="J36" s="10">
        <f>1.5^2*(C32/100)</f>
        <v>0.61402499999999993</v>
      </c>
      <c r="K36" s="10">
        <f>J36*K30</f>
        <v>1.2280499999999999</v>
      </c>
    </row>
    <row r="39" spans="1:11" x14ac:dyDescent="0.2">
      <c r="A39" s="50" t="s">
        <v>36</v>
      </c>
      <c r="B39" s="35" t="s">
        <v>28</v>
      </c>
      <c r="C39" s="35"/>
      <c r="D39" s="35" t="s">
        <v>0</v>
      </c>
      <c r="E39" s="1" t="s">
        <v>1</v>
      </c>
      <c r="F39" s="1" t="s">
        <v>2</v>
      </c>
      <c r="G39" s="35" t="s">
        <v>3</v>
      </c>
      <c r="H39" s="1" t="s">
        <v>4</v>
      </c>
      <c r="I39" s="1" t="s">
        <v>5</v>
      </c>
      <c r="J39" s="1" t="s">
        <v>6</v>
      </c>
      <c r="K39" s="8">
        <v>2</v>
      </c>
    </row>
    <row r="40" spans="1:11" x14ac:dyDescent="0.2">
      <c r="A40" s="50"/>
      <c r="B40" s="35" t="s">
        <v>112</v>
      </c>
      <c r="C40" s="35"/>
      <c r="D40" s="35"/>
      <c r="E40" s="1" t="s">
        <v>7</v>
      </c>
      <c r="F40" s="1" t="s">
        <v>112</v>
      </c>
      <c r="G40" s="35"/>
      <c r="H40" s="1" t="s">
        <v>8</v>
      </c>
      <c r="I40" s="1" t="s">
        <v>9</v>
      </c>
      <c r="J40" s="1" t="s">
        <v>10</v>
      </c>
      <c r="K40" s="1" t="s">
        <v>10</v>
      </c>
    </row>
    <row r="41" spans="1:11" x14ac:dyDescent="0.2">
      <c r="A41" s="50"/>
      <c r="B41" s="1" t="s">
        <v>29</v>
      </c>
      <c r="C41" s="1">
        <v>33.659999999999997</v>
      </c>
      <c r="D41" s="1">
        <v>1</v>
      </c>
      <c r="E41" s="1">
        <v>16</v>
      </c>
      <c r="F41" s="2">
        <f>2*C41+285.6</f>
        <v>352.92</v>
      </c>
      <c r="G41" s="1">
        <v>26</v>
      </c>
      <c r="H41" s="2">
        <f>G41*F41/100</f>
        <v>91.759200000000007</v>
      </c>
      <c r="I41" s="3">
        <v>1.58</v>
      </c>
      <c r="J41" s="2">
        <f t="shared" ref="J41:J44" si="7">H41*I41</f>
        <v>144.97953600000002</v>
      </c>
      <c r="K41" s="34">
        <f>J41*K39</f>
        <v>289.95907200000005</v>
      </c>
    </row>
    <row r="42" spans="1:11" x14ac:dyDescent="0.2">
      <c r="A42" s="50"/>
      <c r="B42" s="1" t="s">
        <v>30</v>
      </c>
      <c r="C42" s="1">
        <f>C41-5.7-5-16</f>
        <v>6.9599999999999973</v>
      </c>
      <c r="D42" s="1">
        <v>2</v>
      </c>
      <c r="E42" s="1">
        <v>12</v>
      </c>
      <c r="F42" s="2">
        <v>159.80000000000001</v>
      </c>
      <c r="G42" s="1">
        <f>26*3</f>
        <v>78</v>
      </c>
      <c r="H42" s="2">
        <f t="shared" ref="H42:H44" si="8">G42*F42/100</f>
        <v>124.64400000000002</v>
      </c>
      <c r="I42" s="3">
        <v>0.88800000000000001</v>
      </c>
      <c r="J42" s="2">
        <f t="shared" si="7"/>
        <v>110.68387200000002</v>
      </c>
      <c r="K42" s="37">
        <f>SUM(J42:J44)*K39</f>
        <v>323.19221760000005</v>
      </c>
    </row>
    <row r="43" spans="1:11" x14ac:dyDescent="0.2">
      <c r="A43" s="50"/>
      <c r="B43" s="35" t="s">
        <v>32</v>
      </c>
      <c r="C43" s="35"/>
      <c r="D43" s="1">
        <v>3</v>
      </c>
      <c r="E43" s="1">
        <v>12</v>
      </c>
      <c r="F43" s="2">
        <f>C41+78.4</f>
        <v>112.06</v>
      </c>
      <c r="G43" s="1">
        <v>36</v>
      </c>
      <c r="H43" s="2">
        <f t="shared" si="8"/>
        <v>40.3416</v>
      </c>
      <c r="I43" s="3">
        <v>0.88800000000000001</v>
      </c>
      <c r="J43" s="2">
        <f t="shared" si="7"/>
        <v>35.823340799999997</v>
      </c>
      <c r="K43" s="38"/>
    </row>
    <row r="44" spans="1:11" x14ac:dyDescent="0.2">
      <c r="A44" s="50"/>
      <c r="B44" s="51" t="s">
        <v>115</v>
      </c>
      <c r="C44" s="52"/>
      <c r="D44" s="1">
        <v>4</v>
      </c>
      <c r="E44" s="1">
        <v>12</v>
      </c>
      <c r="F44" s="2">
        <v>566.4</v>
      </c>
      <c r="G44" s="1">
        <v>3</v>
      </c>
      <c r="H44" s="2">
        <f t="shared" si="8"/>
        <v>16.991999999999997</v>
      </c>
      <c r="I44" s="3">
        <v>0.88800000000000001</v>
      </c>
      <c r="J44" s="2">
        <f t="shared" si="7"/>
        <v>15.088895999999998</v>
      </c>
      <c r="K44" s="39"/>
    </row>
    <row r="45" spans="1:11" x14ac:dyDescent="0.2">
      <c r="A45" s="50"/>
      <c r="B45" s="53"/>
      <c r="C45" s="54"/>
      <c r="D45" s="35" t="s">
        <v>31</v>
      </c>
      <c r="E45" s="35"/>
      <c r="F45" s="35"/>
      <c r="G45" s="35"/>
      <c r="H45" s="35"/>
      <c r="I45" s="35"/>
      <c r="J45" s="10">
        <f>1.43^2*(C41/100)</f>
        <v>0.68831333999999977</v>
      </c>
      <c r="K45" s="10">
        <f>J45*K39</f>
        <v>1.3766266799999995</v>
      </c>
    </row>
    <row r="46" spans="1:11" x14ac:dyDescent="0.2">
      <c r="A46" s="50"/>
      <c r="B46" s="21"/>
      <c r="C46" s="21"/>
      <c r="J46" s="7"/>
      <c r="K46" s="7"/>
    </row>
    <row r="47" spans="1:11" x14ac:dyDescent="0.2">
      <c r="A47" s="50"/>
      <c r="B47" s="35" t="s">
        <v>28</v>
      </c>
      <c r="C47" s="35"/>
      <c r="D47" s="35" t="s">
        <v>0</v>
      </c>
      <c r="E47" s="1" t="s">
        <v>1</v>
      </c>
      <c r="F47" s="1" t="s">
        <v>2</v>
      </c>
      <c r="G47" s="35" t="s">
        <v>3</v>
      </c>
      <c r="H47" s="1" t="s">
        <v>4</v>
      </c>
      <c r="I47" s="1" t="s">
        <v>5</v>
      </c>
      <c r="J47" s="1" t="s">
        <v>6</v>
      </c>
      <c r="K47" s="8">
        <v>2</v>
      </c>
    </row>
    <row r="48" spans="1:11" x14ac:dyDescent="0.2">
      <c r="A48" s="50"/>
      <c r="B48" s="35" t="s">
        <v>112</v>
      </c>
      <c r="C48" s="35"/>
      <c r="D48" s="35"/>
      <c r="E48" s="1" t="s">
        <v>7</v>
      </c>
      <c r="F48" s="1" t="s">
        <v>112</v>
      </c>
      <c r="G48" s="35"/>
      <c r="H48" s="1" t="s">
        <v>8</v>
      </c>
      <c r="I48" s="1" t="s">
        <v>9</v>
      </c>
      <c r="J48" s="1" t="s">
        <v>10</v>
      </c>
      <c r="K48" s="1" t="s">
        <v>10</v>
      </c>
    </row>
    <row r="49" spans="1:11" x14ac:dyDescent="0.2">
      <c r="A49" s="50"/>
      <c r="B49" s="1" t="s">
        <v>29</v>
      </c>
      <c r="C49" s="1">
        <v>27.61</v>
      </c>
      <c r="D49" s="1">
        <v>1</v>
      </c>
      <c r="E49" s="1">
        <v>16</v>
      </c>
      <c r="F49" s="2">
        <f>2*C49+285.6</f>
        <v>340.82000000000005</v>
      </c>
      <c r="G49" s="1">
        <v>26</v>
      </c>
      <c r="H49" s="2">
        <f>G49*F49/100</f>
        <v>88.61320000000002</v>
      </c>
      <c r="I49" s="3">
        <v>1.58</v>
      </c>
      <c r="J49" s="2">
        <f t="shared" ref="J49:J52" si="9">H49*I49</f>
        <v>140.00885600000004</v>
      </c>
      <c r="K49" s="34">
        <f>J49*K47</f>
        <v>280.01771200000007</v>
      </c>
    </row>
    <row r="50" spans="1:11" x14ac:dyDescent="0.2">
      <c r="A50" s="50"/>
      <c r="B50" s="1" t="s">
        <v>30</v>
      </c>
      <c r="C50" s="1">
        <f>C49-5.7-5-16</f>
        <v>0.91000000000000014</v>
      </c>
      <c r="D50" s="1">
        <v>2</v>
      </c>
      <c r="E50" s="1">
        <v>12</v>
      </c>
      <c r="F50" s="2">
        <v>159.80000000000001</v>
      </c>
      <c r="G50" s="1">
        <f>26*3</f>
        <v>78</v>
      </c>
      <c r="H50" s="2">
        <f t="shared" ref="H50:H52" si="10">G50*F50/100</f>
        <v>124.64400000000002</v>
      </c>
      <c r="I50" s="3">
        <v>0.88800000000000001</v>
      </c>
      <c r="J50" s="2">
        <f t="shared" si="9"/>
        <v>110.68387200000002</v>
      </c>
      <c r="K50" s="37">
        <f>SUM(J50:J52)*K47</f>
        <v>319.32408960000004</v>
      </c>
    </row>
    <row r="51" spans="1:11" x14ac:dyDescent="0.2">
      <c r="A51" s="50"/>
      <c r="B51" s="35" t="s">
        <v>32</v>
      </c>
      <c r="C51" s="35"/>
      <c r="D51" s="1">
        <v>3</v>
      </c>
      <c r="E51" s="1">
        <v>12</v>
      </c>
      <c r="F51" s="2">
        <f>C49+78.4</f>
        <v>106.01</v>
      </c>
      <c r="G51" s="1">
        <v>36</v>
      </c>
      <c r="H51" s="2">
        <f t="shared" si="10"/>
        <v>38.163600000000002</v>
      </c>
      <c r="I51" s="3">
        <v>0.88800000000000001</v>
      </c>
      <c r="J51" s="2">
        <f t="shared" si="9"/>
        <v>33.889276800000005</v>
      </c>
      <c r="K51" s="38"/>
    </row>
    <row r="52" spans="1:11" x14ac:dyDescent="0.2">
      <c r="A52" s="50"/>
      <c r="B52" s="51" t="s">
        <v>116</v>
      </c>
      <c r="C52" s="52"/>
      <c r="D52" s="1">
        <v>4</v>
      </c>
      <c r="E52" s="1">
        <v>12</v>
      </c>
      <c r="F52" s="2">
        <v>566.4</v>
      </c>
      <c r="G52" s="1">
        <v>3</v>
      </c>
      <c r="H52" s="2">
        <f t="shared" si="10"/>
        <v>16.991999999999997</v>
      </c>
      <c r="I52" s="3">
        <v>0.88800000000000001</v>
      </c>
      <c r="J52" s="2">
        <f t="shared" si="9"/>
        <v>15.088895999999998</v>
      </c>
      <c r="K52" s="39"/>
    </row>
    <row r="53" spans="1:11" x14ac:dyDescent="0.2">
      <c r="A53" s="50"/>
      <c r="B53" s="53"/>
      <c r="C53" s="54"/>
      <c r="D53" s="35" t="s">
        <v>31</v>
      </c>
      <c r="E53" s="35"/>
      <c r="F53" s="35"/>
      <c r="G53" s="35"/>
      <c r="H53" s="35"/>
      <c r="I53" s="35"/>
      <c r="J53" s="10">
        <f>1.43^2*(C49/100)</f>
        <v>0.56459688999999991</v>
      </c>
      <c r="K53" s="10">
        <f>J53*K47</f>
        <v>1.1291937799999998</v>
      </c>
    </row>
    <row r="56" spans="1:11" x14ac:dyDescent="0.2">
      <c r="A56" s="49" t="s">
        <v>35</v>
      </c>
      <c r="B56" s="35" t="s">
        <v>28</v>
      </c>
      <c r="C56" s="35"/>
      <c r="D56" s="35" t="s">
        <v>0</v>
      </c>
      <c r="E56" s="1" t="s">
        <v>1</v>
      </c>
      <c r="F56" s="1" t="s">
        <v>2</v>
      </c>
      <c r="G56" s="35" t="s">
        <v>39</v>
      </c>
      <c r="H56" s="1" t="s">
        <v>4</v>
      </c>
      <c r="I56" s="1" t="s">
        <v>5</v>
      </c>
      <c r="J56" s="1" t="s">
        <v>6</v>
      </c>
      <c r="K56" s="8">
        <v>4</v>
      </c>
    </row>
    <row r="57" spans="1:11" x14ac:dyDescent="0.2">
      <c r="A57" s="49"/>
      <c r="B57" s="35" t="s">
        <v>112</v>
      </c>
      <c r="C57" s="35"/>
      <c r="D57" s="35"/>
      <c r="E57" s="1" t="s">
        <v>7</v>
      </c>
      <c r="F57" s="1" t="s">
        <v>112</v>
      </c>
      <c r="G57" s="35"/>
      <c r="H57" s="1" t="s">
        <v>8</v>
      </c>
      <c r="I57" s="1" t="s">
        <v>9</v>
      </c>
      <c r="J57" s="1" t="s">
        <v>10</v>
      </c>
      <c r="K57" s="1" t="s">
        <v>10</v>
      </c>
    </row>
    <row r="58" spans="1:11" x14ac:dyDescent="0.2">
      <c r="A58" s="49"/>
      <c r="B58" s="55" t="s">
        <v>29</v>
      </c>
      <c r="C58" s="57">
        <v>29.9</v>
      </c>
      <c r="D58" s="1">
        <v>1</v>
      </c>
      <c r="E58" s="1">
        <v>12</v>
      </c>
      <c r="F58" s="2">
        <f>2*C58+231.2</f>
        <v>291</v>
      </c>
      <c r="G58" s="1">
        <v>16</v>
      </c>
      <c r="H58" s="2">
        <f>G58*F58/100</f>
        <v>46.56</v>
      </c>
      <c r="I58" s="3">
        <v>0.88800000000000001</v>
      </c>
      <c r="J58" s="2">
        <f t="shared" ref="J58:J61" si="11">H58*I58</f>
        <v>41.345280000000002</v>
      </c>
      <c r="K58" s="37">
        <f>SUM(J58:J61)*K56</f>
        <v>400.52351999999996</v>
      </c>
    </row>
    <row r="59" spans="1:11" x14ac:dyDescent="0.2">
      <c r="A59" s="49"/>
      <c r="B59" s="56"/>
      <c r="C59" s="58"/>
      <c r="D59" s="1">
        <v>2</v>
      </c>
      <c r="E59" s="1">
        <v>12</v>
      </c>
      <c r="F59" s="2">
        <v>106.8</v>
      </c>
      <c r="G59" s="1">
        <v>48</v>
      </c>
      <c r="H59" s="2">
        <f t="shared" ref="H59:H61" si="12">G59*F59/100</f>
        <v>51.263999999999996</v>
      </c>
      <c r="I59" s="3">
        <v>0.88800000000000001</v>
      </c>
      <c r="J59" s="2">
        <f t="shared" si="11"/>
        <v>45.522431999999995</v>
      </c>
      <c r="K59" s="38"/>
    </row>
    <row r="60" spans="1:11" x14ac:dyDescent="0.2">
      <c r="A60" s="49"/>
      <c r="B60" s="35" t="s">
        <v>32</v>
      </c>
      <c r="C60" s="35"/>
      <c r="D60" s="1">
        <v>3</v>
      </c>
      <c r="E60" s="1">
        <v>12</v>
      </c>
      <c r="F60" s="2">
        <f>C58+77.7</f>
        <v>107.6</v>
      </c>
      <c r="G60" s="1">
        <v>4</v>
      </c>
      <c r="H60" s="2">
        <f t="shared" si="12"/>
        <v>4.3039999999999994</v>
      </c>
      <c r="I60" s="3">
        <v>0.88800000000000001</v>
      </c>
      <c r="J60" s="2">
        <f t="shared" si="11"/>
        <v>3.8219519999999996</v>
      </c>
      <c r="K60" s="38"/>
    </row>
    <row r="61" spans="1:11" x14ac:dyDescent="0.2">
      <c r="A61" s="49"/>
      <c r="B61" s="51" t="s">
        <v>34</v>
      </c>
      <c r="C61" s="52"/>
      <c r="D61" s="1">
        <v>4</v>
      </c>
      <c r="E61" s="1">
        <v>12</v>
      </c>
      <c r="F61" s="2">
        <v>354.4</v>
      </c>
      <c r="G61" s="1">
        <v>3</v>
      </c>
      <c r="H61" s="2">
        <f t="shared" si="12"/>
        <v>10.631999999999998</v>
      </c>
      <c r="I61" s="3">
        <v>0.88800000000000001</v>
      </c>
      <c r="J61" s="2">
        <f t="shared" si="11"/>
        <v>9.4412159999999989</v>
      </c>
      <c r="K61" s="39"/>
    </row>
    <row r="62" spans="1:11" x14ac:dyDescent="0.2">
      <c r="A62" s="49"/>
      <c r="B62" s="59"/>
      <c r="C62" s="60"/>
      <c r="D62" s="1">
        <v>5</v>
      </c>
      <c r="E62" s="1">
        <v>16</v>
      </c>
      <c r="F62" s="2">
        <f>2*C58+155.5</f>
        <v>215.3</v>
      </c>
      <c r="G62" s="1">
        <v>14</v>
      </c>
      <c r="H62" s="2">
        <f t="shared" ref="H62" si="13">G62*F62/100</f>
        <v>30.142000000000003</v>
      </c>
      <c r="I62" s="3">
        <v>1.58</v>
      </c>
      <c r="J62" s="2">
        <f t="shared" ref="J62" si="14">H62*I62</f>
        <v>47.62436000000001</v>
      </c>
      <c r="K62" s="31">
        <f>J62*K56</f>
        <v>190.49744000000004</v>
      </c>
    </row>
    <row r="63" spans="1:11" x14ac:dyDescent="0.2">
      <c r="A63" s="49"/>
      <c r="B63" s="59"/>
      <c r="C63" s="60"/>
      <c r="D63" s="1" t="s">
        <v>155</v>
      </c>
      <c r="E63" s="1" t="s">
        <v>156</v>
      </c>
      <c r="F63" s="2"/>
      <c r="G63" s="1">
        <v>1</v>
      </c>
      <c r="H63" s="2"/>
      <c r="I63" s="3"/>
      <c r="J63" s="2">
        <f>0.75*0.75*0.04*7850</f>
        <v>176.625</v>
      </c>
      <c r="K63" s="31">
        <f>J63*K56</f>
        <v>706.5</v>
      </c>
    </row>
    <row r="64" spans="1:11" x14ac:dyDescent="0.2">
      <c r="A64" s="49"/>
      <c r="B64" s="53"/>
      <c r="C64" s="54"/>
      <c r="D64" s="35" t="s">
        <v>31</v>
      </c>
      <c r="E64" s="35"/>
      <c r="F64" s="35"/>
      <c r="G64" s="35"/>
      <c r="H64" s="35"/>
      <c r="I64" s="35"/>
      <c r="J64" s="10">
        <f>0.9^2*(C58/100)</f>
        <v>0.24219000000000002</v>
      </c>
      <c r="K64" s="10">
        <f>J64*K56</f>
        <v>0.96876000000000007</v>
      </c>
    </row>
  </sheetData>
  <mergeCells count="56">
    <mergeCell ref="K50:K52"/>
    <mergeCell ref="B58:B59"/>
    <mergeCell ref="C58:C59"/>
    <mergeCell ref="B44:C45"/>
    <mergeCell ref="D45:I45"/>
    <mergeCell ref="B56:C56"/>
    <mergeCell ref="D56:D57"/>
    <mergeCell ref="G56:G57"/>
    <mergeCell ref="B57:C57"/>
    <mergeCell ref="G47:G48"/>
    <mergeCell ref="B48:C48"/>
    <mergeCell ref="K58:K61"/>
    <mergeCell ref="B60:C60"/>
    <mergeCell ref="B61:C64"/>
    <mergeCell ref="B27:C28"/>
    <mergeCell ref="D28:I28"/>
    <mergeCell ref="B26:C26"/>
    <mergeCell ref="G39:G40"/>
    <mergeCell ref="K42:K44"/>
    <mergeCell ref="B43:C43"/>
    <mergeCell ref="A1:B1"/>
    <mergeCell ref="G1:H1"/>
    <mergeCell ref="A2:A5"/>
    <mergeCell ref="H2:H5"/>
    <mergeCell ref="A9:B9"/>
    <mergeCell ref="G9:H9"/>
    <mergeCell ref="B34:C34"/>
    <mergeCell ref="B35:C36"/>
    <mergeCell ref="D36:I36"/>
    <mergeCell ref="B51:C51"/>
    <mergeCell ref="B52:C53"/>
    <mergeCell ref="D53:I53"/>
    <mergeCell ref="D47:D48"/>
    <mergeCell ref="B40:C40"/>
    <mergeCell ref="D64:I64"/>
    <mergeCell ref="A56:A64"/>
    <mergeCell ref="B39:C39"/>
    <mergeCell ref="D39:D40"/>
    <mergeCell ref="B47:C47"/>
    <mergeCell ref="A39:A53"/>
    <mergeCell ref="K25:K27"/>
    <mergeCell ref="K33:K35"/>
    <mergeCell ref="L22:M22"/>
    <mergeCell ref="A10:A13"/>
    <mergeCell ref="H10:H13"/>
    <mergeCell ref="A17:B17"/>
    <mergeCell ref="G17:H17"/>
    <mergeCell ref="G22:G23"/>
    <mergeCell ref="B22:C22"/>
    <mergeCell ref="B23:C23"/>
    <mergeCell ref="D22:D23"/>
    <mergeCell ref="A22:A36"/>
    <mergeCell ref="B30:C30"/>
    <mergeCell ref="D30:D31"/>
    <mergeCell ref="G30:G31"/>
    <mergeCell ref="B31:C3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D2E3-0510-40DB-B3E7-D6C707F90230}">
  <dimension ref="C8:M53"/>
  <sheetViews>
    <sheetView workbookViewId="0">
      <selection activeCell="H53" sqref="G53:H53"/>
    </sheetView>
  </sheetViews>
  <sheetFormatPr defaultColWidth="9" defaultRowHeight="14.25" x14ac:dyDescent="0.2"/>
  <cols>
    <col min="1" max="2" width="9" style="5"/>
    <col min="3" max="3" width="10.75" style="5" customWidth="1"/>
    <col min="4" max="4" width="19" style="5" customWidth="1"/>
    <col min="5" max="5" width="12.25" style="5" customWidth="1"/>
    <col min="6" max="7" width="9" style="5"/>
    <col min="8" max="8" width="12.25" style="5" customWidth="1"/>
    <col min="9" max="16384" width="9" style="5"/>
  </cols>
  <sheetData>
    <row r="8" spans="3:10" x14ac:dyDescent="0.2">
      <c r="C8" s="35" t="s">
        <v>0</v>
      </c>
      <c r="D8" s="1" t="s">
        <v>1</v>
      </c>
      <c r="E8" s="1" t="s">
        <v>2</v>
      </c>
      <c r="F8" s="35" t="s">
        <v>3</v>
      </c>
      <c r="G8" s="1" t="s">
        <v>4</v>
      </c>
      <c r="H8" s="1" t="s">
        <v>5</v>
      </c>
      <c r="I8" s="1" t="s">
        <v>6</v>
      </c>
    </row>
    <row r="9" spans="3:10" x14ac:dyDescent="0.2">
      <c r="C9" s="35"/>
      <c r="D9" s="1" t="s">
        <v>7</v>
      </c>
      <c r="E9" s="1" t="s">
        <v>13</v>
      </c>
      <c r="F9" s="35"/>
      <c r="G9" s="1" t="s">
        <v>8</v>
      </c>
      <c r="H9" s="1" t="s">
        <v>9</v>
      </c>
      <c r="I9" s="1" t="s">
        <v>10</v>
      </c>
    </row>
    <row r="10" spans="3:10" x14ac:dyDescent="0.2">
      <c r="C10" s="1" t="s">
        <v>46</v>
      </c>
      <c r="D10" s="1">
        <v>16</v>
      </c>
      <c r="E10" s="2">
        <v>550</v>
      </c>
      <c r="F10" s="1">
        <v>10</v>
      </c>
      <c r="G10" s="2">
        <f>F10*E10/1000</f>
        <v>5.5</v>
      </c>
      <c r="H10" s="3">
        <v>1.58</v>
      </c>
      <c r="I10" s="2">
        <f t="shared" ref="I10:I12" si="0">G10*H10</f>
        <v>8.6900000000000013</v>
      </c>
      <c r="J10" s="62"/>
    </row>
    <row r="11" spans="3:10" x14ac:dyDescent="0.2">
      <c r="C11" s="1" t="s">
        <v>47</v>
      </c>
      <c r="D11" s="1">
        <v>16</v>
      </c>
      <c r="E11" s="2">
        <v>700</v>
      </c>
      <c r="F11" s="1">
        <v>14</v>
      </c>
      <c r="G11" s="2">
        <f>F11*E11/1000</f>
        <v>9.8000000000000007</v>
      </c>
      <c r="H11" s="3">
        <v>1.58</v>
      </c>
      <c r="I11" s="2">
        <f t="shared" si="0"/>
        <v>15.484000000000002</v>
      </c>
      <c r="J11" s="62"/>
    </row>
    <row r="12" spans="3:10" x14ac:dyDescent="0.2">
      <c r="C12" s="1" t="s">
        <v>48</v>
      </c>
      <c r="D12" s="1">
        <v>10</v>
      </c>
      <c r="E12" s="1">
        <f>938.5*2+140</f>
        <v>2017</v>
      </c>
      <c r="F12" s="1">
        <v>4</v>
      </c>
      <c r="G12" s="2">
        <f>F12*E12/1000</f>
        <v>8.0679999999999996</v>
      </c>
      <c r="H12" s="3">
        <v>0.61699999999999999</v>
      </c>
      <c r="I12" s="2">
        <f t="shared" si="0"/>
        <v>4.9779559999999998</v>
      </c>
      <c r="J12" s="62"/>
    </row>
    <row r="18" spans="3:7" x14ac:dyDescent="0.2">
      <c r="C18" s="35" t="s">
        <v>0</v>
      </c>
      <c r="D18" s="1" t="s">
        <v>44</v>
      </c>
      <c r="E18" s="1" t="s">
        <v>37</v>
      </c>
      <c r="F18" s="35" t="s">
        <v>39</v>
      </c>
      <c r="G18" s="35" t="s">
        <v>11</v>
      </c>
    </row>
    <row r="19" spans="3:7" x14ac:dyDescent="0.2">
      <c r="C19" s="35"/>
      <c r="D19" s="1" t="s">
        <v>7</v>
      </c>
      <c r="E19" s="1" t="s">
        <v>38</v>
      </c>
      <c r="F19" s="35"/>
      <c r="G19" s="35"/>
    </row>
    <row r="20" spans="3:7" x14ac:dyDescent="0.2">
      <c r="C20" s="1" t="s">
        <v>40</v>
      </c>
      <c r="D20" s="1" t="s">
        <v>41</v>
      </c>
      <c r="E20" s="1">
        <f>0.2*0.2*0.005*7850</f>
        <v>1.5700000000000003</v>
      </c>
      <c r="F20" s="1">
        <v>8</v>
      </c>
      <c r="G20" s="2">
        <f>E20*F20</f>
        <v>12.560000000000002</v>
      </c>
    </row>
    <row r="21" spans="3:7" x14ac:dyDescent="0.2">
      <c r="C21" s="1" t="s">
        <v>157</v>
      </c>
      <c r="D21" s="1" t="s">
        <v>158</v>
      </c>
      <c r="E21" s="10">
        <f>0.1*0.1*0.005*7850</f>
        <v>0.39250000000000007</v>
      </c>
      <c r="F21" s="1">
        <v>8</v>
      </c>
      <c r="G21" s="2">
        <f>E21*F21</f>
        <v>3.1400000000000006</v>
      </c>
    </row>
    <row r="22" spans="3:7" x14ac:dyDescent="0.2">
      <c r="C22" s="1" t="s">
        <v>42</v>
      </c>
      <c r="D22" s="1" t="s">
        <v>43</v>
      </c>
      <c r="E22" s="1" t="s">
        <v>45</v>
      </c>
      <c r="F22" s="1">
        <f>F20</f>
        <v>8</v>
      </c>
      <c r="G22" s="1" t="s">
        <v>45</v>
      </c>
    </row>
    <row r="23" spans="3:7" x14ac:dyDescent="0.2">
      <c r="C23" s="1" t="s">
        <v>49</v>
      </c>
      <c r="D23" s="1" t="s">
        <v>113</v>
      </c>
      <c r="E23" s="1" t="s">
        <v>45</v>
      </c>
      <c r="F23" s="1">
        <v>4</v>
      </c>
      <c r="G23" s="1" t="s">
        <v>45</v>
      </c>
    </row>
    <row r="29" spans="3:7" x14ac:dyDescent="0.2">
      <c r="C29" s="1" t="s">
        <v>50</v>
      </c>
      <c r="D29" s="1" t="s">
        <v>55</v>
      </c>
      <c r="E29" s="1" t="s">
        <v>51</v>
      </c>
      <c r="F29" s="1" t="s">
        <v>61</v>
      </c>
      <c r="G29" s="1" t="s">
        <v>63</v>
      </c>
    </row>
    <row r="30" spans="3:7" x14ac:dyDescent="0.2">
      <c r="C30" s="35" t="s">
        <v>52</v>
      </c>
      <c r="D30" s="1" t="s">
        <v>57</v>
      </c>
      <c r="E30" s="1">
        <v>16</v>
      </c>
      <c r="F30" s="35" t="s">
        <v>38</v>
      </c>
      <c r="G30" s="9">
        <f>(I10+I11)*4</f>
        <v>96.696000000000012</v>
      </c>
    </row>
    <row r="31" spans="3:7" x14ac:dyDescent="0.2">
      <c r="C31" s="35"/>
      <c r="D31" s="1" t="s">
        <v>56</v>
      </c>
      <c r="E31" s="1">
        <v>10</v>
      </c>
      <c r="F31" s="35"/>
      <c r="G31" s="2">
        <f>I12*4</f>
        <v>19.911823999999999</v>
      </c>
    </row>
    <row r="32" spans="3:7" x14ac:dyDescent="0.2">
      <c r="C32" s="1" t="s">
        <v>53</v>
      </c>
      <c r="D32" s="1" t="s">
        <v>58</v>
      </c>
      <c r="E32" s="1" t="s">
        <v>159</v>
      </c>
      <c r="F32" s="1" t="s">
        <v>38</v>
      </c>
      <c r="G32" s="2">
        <f>(G20+G21)*4</f>
        <v>62.800000000000011</v>
      </c>
    </row>
    <row r="33" spans="3:13" x14ac:dyDescent="0.2">
      <c r="C33" s="1" t="s">
        <v>54</v>
      </c>
      <c r="D33" s="1" t="s">
        <v>59</v>
      </c>
      <c r="E33" s="1" t="s">
        <v>60</v>
      </c>
      <c r="F33" s="1" t="s">
        <v>62</v>
      </c>
      <c r="G33" s="1">
        <f>F22*4</f>
        <v>32</v>
      </c>
    </row>
    <row r="34" spans="3:13" x14ac:dyDescent="0.2">
      <c r="C34" s="35" t="s">
        <v>49</v>
      </c>
      <c r="D34" s="35"/>
      <c r="E34" s="1" t="s">
        <v>113</v>
      </c>
      <c r="F34" s="1" t="s">
        <v>18</v>
      </c>
      <c r="G34" s="1">
        <f>F23*1*4</f>
        <v>16</v>
      </c>
    </row>
    <row r="41" spans="3:13" x14ac:dyDescent="0.2">
      <c r="C41" s="35" t="s">
        <v>0</v>
      </c>
      <c r="D41" s="1" t="s">
        <v>1</v>
      </c>
      <c r="E41" s="1" t="s">
        <v>37</v>
      </c>
      <c r="F41" s="35" t="s">
        <v>39</v>
      </c>
      <c r="G41" s="1" t="s">
        <v>6</v>
      </c>
      <c r="H41" s="1" t="s">
        <v>25</v>
      </c>
      <c r="I41" s="35" t="s">
        <v>55</v>
      </c>
      <c r="J41" s="5">
        <v>12</v>
      </c>
      <c r="K41" s="5">
        <f>G48*4</f>
        <v>978.54960000000005</v>
      </c>
    </row>
    <row r="42" spans="3:13" x14ac:dyDescent="0.2">
      <c r="C42" s="35"/>
      <c r="D42" s="1" t="s">
        <v>7</v>
      </c>
      <c r="E42" s="1" t="s">
        <v>10</v>
      </c>
      <c r="F42" s="35"/>
      <c r="G42" s="1" t="s">
        <v>10</v>
      </c>
      <c r="H42" s="1" t="s">
        <v>10</v>
      </c>
      <c r="I42" s="35"/>
      <c r="J42" s="5">
        <v>8</v>
      </c>
      <c r="K42" s="5">
        <f>SUM(G43:G47)*4</f>
        <v>7587.5069221760004</v>
      </c>
      <c r="M42" s="5" t="s">
        <v>132</v>
      </c>
    </row>
    <row r="43" spans="3:13" x14ac:dyDescent="0.2">
      <c r="C43" s="1" t="s">
        <v>64</v>
      </c>
      <c r="D43" s="1" t="s">
        <v>141</v>
      </c>
      <c r="E43" s="2">
        <f>6.57188731*0.008*7850</f>
        <v>412.71452306800006</v>
      </c>
      <c r="F43" s="1">
        <v>2</v>
      </c>
      <c r="G43" s="2">
        <f t="shared" ref="G43:G52" si="1">E43*F43</f>
        <v>825.42904613600012</v>
      </c>
      <c r="H43" s="37">
        <f>SUM(G43:G50)*4</f>
        <v>37559.062518175997</v>
      </c>
      <c r="I43" s="55" t="s">
        <v>67</v>
      </c>
      <c r="J43" s="5">
        <v>4</v>
      </c>
      <c r="K43" s="7">
        <f>G50*4</f>
        <v>28807.318955999999</v>
      </c>
      <c r="M43" s="5">
        <f>G43/7850/0.008*2*F43</f>
        <v>52.575098480000001</v>
      </c>
    </row>
    <row r="44" spans="3:13" x14ac:dyDescent="0.2">
      <c r="C44" s="1" t="s">
        <v>99</v>
      </c>
      <c r="D44" s="1" t="s">
        <v>142</v>
      </c>
      <c r="E44" s="2">
        <f>2.99882077*0.008*7850</f>
        <v>188.32594435600001</v>
      </c>
      <c r="F44" s="1">
        <v>4</v>
      </c>
      <c r="G44" s="2">
        <f t="shared" ref="G44:G45" si="2">E44*F44</f>
        <v>753.30377742400003</v>
      </c>
      <c r="H44" s="38"/>
      <c r="I44" s="61"/>
      <c r="J44" s="5" t="s">
        <v>132</v>
      </c>
      <c r="K44" s="18">
        <f>SUM(M43:M50)</f>
        <v>651.30647623999994</v>
      </c>
      <c r="M44" s="5">
        <f t="shared" ref="M44:M49" si="3">G44/7850/0.008*2*F44</f>
        <v>95.962264640000001</v>
      </c>
    </row>
    <row r="45" spans="3:13" x14ac:dyDescent="0.2">
      <c r="C45" s="1" t="s">
        <v>100</v>
      </c>
      <c r="D45" s="1" t="s">
        <v>143</v>
      </c>
      <c r="E45" s="2">
        <f>1.28326789*0.008*7850</f>
        <v>80.589223492000016</v>
      </c>
      <c r="F45" s="1">
        <v>2</v>
      </c>
      <c r="G45" s="2">
        <f t="shared" si="2"/>
        <v>161.17844698400003</v>
      </c>
      <c r="H45" s="38"/>
      <c r="I45" s="61"/>
      <c r="M45" s="5">
        <f t="shared" si="3"/>
        <v>10.266143120000001</v>
      </c>
    </row>
    <row r="46" spans="3:13" x14ac:dyDescent="0.2">
      <c r="C46" s="1" t="s">
        <v>102</v>
      </c>
      <c r="D46" s="1" t="s">
        <v>170</v>
      </c>
      <c r="E46" s="2">
        <f>14.463*0.15*0.008*7850</f>
        <v>136.24145999999999</v>
      </c>
      <c r="F46" s="1">
        <v>1</v>
      </c>
      <c r="G46" s="2">
        <f t="shared" si="1"/>
        <v>136.24145999999999</v>
      </c>
      <c r="H46" s="38"/>
      <c r="I46" s="61"/>
      <c r="M46" s="5">
        <f t="shared" si="3"/>
        <v>4.3388999999999998</v>
      </c>
    </row>
    <row r="47" spans="3:13" x14ac:dyDescent="0.2">
      <c r="C47" s="1" t="s">
        <v>103</v>
      </c>
      <c r="D47" s="1" t="s">
        <v>171</v>
      </c>
      <c r="E47" s="2">
        <f>1.1*0.15*0.008*7850</f>
        <v>10.362</v>
      </c>
      <c r="F47" s="1">
        <f>F43</f>
        <v>2</v>
      </c>
      <c r="G47" s="2">
        <f t="shared" si="1"/>
        <v>20.724</v>
      </c>
      <c r="H47" s="38"/>
      <c r="I47" s="61"/>
      <c r="M47" s="5">
        <f t="shared" si="3"/>
        <v>1.32</v>
      </c>
    </row>
    <row r="48" spans="3:13" x14ac:dyDescent="0.2">
      <c r="C48" s="1" t="s">
        <v>68</v>
      </c>
      <c r="D48" s="1" t="s">
        <v>144</v>
      </c>
      <c r="E48" s="2">
        <f>3.71*0.35*0.012*7850</f>
        <v>122.31870000000001</v>
      </c>
      <c r="F48" s="1">
        <f>F43</f>
        <v>2</v>
      </c>
      <c r="G48" s="2">
        <f t="shared" si="1"/>
        <v>244.63740000000001</v>
      </c>
      <c r="H48" s="38"/>
      <c r="I48" s="61"/>
      <c r="M48" s="5">
        <f>G48/7850/0.012*2*F48</f>
        <v>10.388</v>
      </c>
    </row>
    <row r="49" spans="3:13" x14ac:dyDescent="0.2">
      <c r="C49" s="1" t="s">
        <v>101</v>
      </c>
      <c r="D49" s="1" t="s">
        <v>145</v>
      </c>
      <c r="E49" s="2">
        <f>0.77*0.08*0.008*7850</f>
        <v>3.8684800000000004</v>
      </c>
      <c r="F49" s="1">
        <v>12</v>
      </c>
      <c r="G49" s="2">
        <f t="shared" ref="G49" si="4">E49*F49</f>
        <v>46.421760000000006</v>
      </c>
      <c r="H49" s="38"/>
      <c r="I49" s="61"/>
      <c r="M49" s="5">
        <f t="shared" si="3"/>
        <v>17.7408</v>
      </c>
    </row>
    <row r="50" spans="3:13" x14ac:dyDescent="0.2">
      <c r="C50" s="1" t="s">
        <v>65</v>
      </c>
      <c r="D50" s="1" t="s">
        <v>146</v>
      </c>
      <c r="E50" s="2">
        <f>42.513*0.004*5.395*7850</f>
        <v>7201.8297389999998</v>
      </c>
      <c r="F50" s="1">
        <v>1</v>
      </c>
      <c r="G50" s="2">
        <f t="shared" si="1"/>
        <v>7201.8297389999998</v>
      </c>
      <c r="H50" s="39"/>
      <c r="I50" s="56"/>
      <c r="M50" s="5">
        <f>G50/7850/0.004*2*F50</f>
        <v>458.71526999999998</v>
      </c>
    </row>
    <row r="51" spans="3:13" x14ac:dyDescent="0.2">
      <c r="C51" s="1" t="s">
        <v>66</v>
      </c>
      <c r="D51" s="1">
        <v>12</v>
      </c>
      <c r="E51" s="10">
        <f>0.892*0.888</f>
        <v>0.79209600000000002</v>
      </c>
      <c r="F51" s="1">
        <f>75</f>
        <v>75</v>
      </c>
      <c r="G51" s="2">
        <f t="shared" si="1"/>
        <v>59.407200000000003</v>
      </c>
      <c r="H51" s="2">
        <f>G51*4</f>
        <v>237.62880000000001</v>
      </c>
      <c r="I51" s="35" t="s">
        <v>57</v>
      </c>
    </row>
    <row r="52" spans="3:13" x14ac:dyDescent="0.2">
      <c r="C52" s="1" t="s">
        <v>98</v>
      </c>
      <c r="D52" s="1">
        <v>32</v>
      </c>
      <c r="E52" s="2">
        <f>3.514*6.31</f>
        <v>22.173339999999996</v>
      </c>
      <c r="F52" s="1">
        <v>3</v>
      </c>
      <c r="G52" s="2">
        <f t="shared" si="1"/>
        <v>66.520019999999988</v>
      </c>
      <c r="H52" s="2">
        <f>G52*4</f>
        <v>266.08007999999995</v>
      </c>
      <c r="I52" s="35"/>
    </row>
    <row r="53" spans="3:13" ht="16.5" x14ac:dyDescent="0.2">
      <c r="C53" s="35" t="s">
        <v>147</v>
      </c>
      <c r="D53" s="35"/>
      <c r="E53" s="35"/>
      <c r="F53" s="35"/>
      <c r="G53" s="2">
        <f>SUM(M43:M50)</f>
        <v>651.30647623999994</v>
      </c>
      <c r="H53" s="2">
        <f>G53*4</f>
        <v>2605.2259049599998</v>
      </c>
      <c r="I53" s="1"/>
    </row>
  </sheetData>
  <mergeCells count="16">
    <mergeCell ref="C8:C9"/>
    <mergeCell ref="F8:F9"/>
    <mergeCell ref="C18:C19"/>
    <mergeCell ref="F18:F19"/>
    <mergeCell ref="G18:G19"/>
    <mergeCell ref="C53:F53"/>
    <mergeCell ref="I51:I52"/>
    <mergeCell ref="H43:H50"/>
    <mergeCell ref="I43:I50"/>
    <mergeCell ref="J10:J12"/>
    <mergeCell ref="I41:I42"/>
    <mergeCell ref="C30:C31"/>
    <mergeCell ref="C41:C42"/>
    <mergeCell ref="F41:F42"/>
    <mergeCell ref="C34:D34"/>
    <mergeCell ref="F30:F3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6EFF-2DD1-43C6-AC29-96CAFD8762EE}">
  <dimension ref="A4:M39"/>
  <sheetViews>
    <sheetView tabSelected="1" topLeftCell="A5" workbookViewId="0">
      <selection activeCell="A4" sqref="A4:L39"/>
    </sheetView>
  </sheetViews>
  <sheetFormatPr defaultColWidth="9" defaultRowHeight="14.25" x14ac:dyDescent="0.2"/>
  <cols>
    <col min="1" max="1" width="18" style="5" customWidth="1"/>
    <col min="2" max="5" width="9" style="5"/>
    <col min="6" max="6" width="9" style="20"/>
    <col min="7" max="7" width="9" style="5"/>
    <col min="8" max="8" width="9" style="20"/>
    <col min="9" max="9" width="13" style="5" customWidth="1"/>
    <col min="10" max="16384" width="9" style="5"/>
  </cols>
  <sheetData>
    <row r="4" spans="1:12" ht="15" customHeight="1" x14ac:dyDescent="0.2">
      <c r="A4" s="11" t="s">
        <v>69</v>
      </c>
      <c r="B4" s="80" t="s">
        <v>1</v>
      </c>
      <c r="C4" s="81"/>
      <c r="D4" s="82"/>
      <c r="E4" s="11" t="s">
        <v>70</v>
      </c>
      <c r="F4" s="25" t="s">
        <v>17</v>
      </c>
      <c r="G4" s="11" t="s">
        <v>84</v>
      </c>
      <c r="H4" s="25" t="s">
        <v>16</v>
      </c>
      <c r="I4" s="11" t="s">
        <v>88</v>
      </c>
      <c r="J4" s="11" t="s">
        <v>85</v>
      </c>
      <c r="K4" s="11" t="s">
        <v>86</v>
      </c>
      <c r="L4" s="1" t="s">
        <v>11</v>
      </c>
    </row>
    <row r="5" spans="1:12" ht="16.5" x14ac:dyDescent="0.2">
      <c r="A5" s="63" t="s">
        <v>71</v>
      </c>
      <c r="B5" s="63" t="s">
        <v>89</v>
      </c>
      <c r="C5" s="64"/>
      <c r="D5" s="64"/>
      <c r="E5" s="11" t="s">
        <v>72</v>
      </c>
      <c r="F5" s="26">
        <v>467.5</v>
      </c>
      <c r="G5" s="2"/>
      <c r="H5" s="29"/>
      <c r="I5" s="2">
        <f>'支座+垫石'!M26</f>
        <v>5.8964804599999994</v>
      </c>
      <c r="J5" s="2"/>
      <c r="K5" s="2"/>
      <c r="L5" s="2">
        <f>SUM(F5:K5)</f>
        <v>473.39648046000002</v>
      </c>
    </row>
    <row r="6" spans="1:12" ht="16.5" x14ac:dyDescent="0.2">
      <c r="A6" s="63"/>
      <c r="B6" s="63" t="s">
        <v>87</v>
      </c>
      <c r="C6" s="64"/>
      <c r="D6" s="64"/>
      <c r="E6" s="11" t="s">
        <v>72</v>
      </c>
      <c r="F6" s="26"/>
      <c r="G6" s="2">
        <f>承台!J21</f>
        <v>805.048</v>
      </c>
      <c r="H6" s="29"/>
      <c r="I6" s="2"/>
      <c r="J6" s="2"/>
      <c r="K6" s="2"/>
      <c r="L6" s="2">
        <f t="shared" ref="L6:L39" si="0">SUM(F6:K6)</f>
        <v>805.048</v>
      </c>
    </row>
    <row r="7" spans="1:12" ht="16.5" x14ac:dyDescent="0.2">
      <c r="A7" s="64"/>
      <c r="B7" s="63" t="s">
        <v>73</v>
      </c>
      <c r="C7" s="64"/>
      <c r="D7" s="64"/>
      <c r="E7" s="11" t="s">
        <v>72</v>
      </c>
      <c r="F7" s="26"/>
      <c r="G7" s="2"/>
      <c r="H7" s="29">
        <v>3513.1</v>
      </c>
      <c r="I7" s="2"/>
      <c r="J7" s="2"/>
      <c r="K7" s="2"/>
      <c r="L7" s="2">
        <f t="shared" si="0"/>
        <v>3513.1</v>
      </c>
    </row>
    <row r="8" spans="1:12" ht="16.5" x14ac:dyDescent="0.2">
      <c r="A8" s="64"/>
      <c r="B8" s="63" t="s">
        <v>134</v>
      </c>
      <c r="C8" s="64"/>
      <c r="D8" s="64"/>
      <c r="E8" s="11" t="s">
        <v>72</v>
      </c>
      <c r="F8" s="26"/>
      <c r="G8" s="2">
        <f>承台!J22</f>
        <v>241.51440000000002</v>
      </c>
      <c r="H8" s="29"/>
      <c r="I8" s="2"/>
      <c r="J8" s="2"/>
      <c r="K8" s="2"/>
      <c r="L8" s="2">
        <f t="shared" si="0"/>
        <v>241.51440000000002</v>
      </c>
    </row>
    <row r="9" spans="1:12" x14ac:dyDescent="0.2">
      <c r="A9" s="77" t="s">
        <v>53</v>
      </c>
      <c r="B9" s="80" t="s">
        <v>92</v>
      </c>
      <c r="C9" s="82"/>
      <c r="D9" s="12" t="s">
        <v>91</v>
      </c>
      <c r="E9" s="11" t="s">
        <v>10</v>
      </c>
      <c r="F9" s="26"/>
      <c r="G9" s="2"/>
      <c r="H9" s="29"/>
      <c r="I9" s="2"/>
      <c r="J9" s="2"/>
      <c r="K9" s="2">
        <f>'防雷+墩顶装饰'!G32</f>
        <v>62.800000000000011</v>
      </c>
      <c r="L9" s="2">
        <f t="shared" si="0"/>
        <v>62.800000000000011</v>
      </c>
    </row>
    <row r="10" spans="1:12" x14ac:dyDescent="0.2">
      <c r="A10" s="78"/>
      <c r="B10" s="68" t="s">
        <v>67</v>
      </c>
      <c r="C10" s="69"/>
      <c r="D10" s="12" t="s">
        <v>94</v>
      </c>
      <c r="E10" s="11" t="s">
        <v>10</v>
      </c>
      <c r="F10" s="26"/>
      <c r="G10" s="2"/>
      <c r="H10" s="29"/>
      <c r="I10" s="2"/>
      <c r="J10" s="2">
        <f>'防雷+墩顶装饰'!K41</f>
        <v>978.54960000000005</v>
      </c>
      <c r="K10" s="2"/>
      <c r="L10" s="2">
        <f t="shared" si="0"/>
        <v>978.54960000000005</v>
      </c>
    </row>
    <row r="11" spans="1:12" x14ac:dyDescent="0.2">
      <c r="A11" s="78"/>
      <c r="B11" s="70"/>
      <c r="C11" s="71"/>
      <c r="D11" s="12" t="s">
        <v>95</v>
      </c>
      <c r="E11" s="11" t="s">
        <v>10</v>
      </c>
      <c r="F11" s="26"/>
      <c r="G11" s="2"/>
      <c r="H11" s="29"/>
      <c r="I11" s="2"/>
      <c r="J11" s="2">
        <f>'防雷+墩顶装饰'!K42</f>
        <v>7587.5069221760004</v>
      </c>
      <c r="K11" s="2"/>
      <c r="L11" s="2">
        <f t="shared" si="0"/>
        <v>7587.5069221760004</v>
      </c>
    </row>
    <row r="12" spans="1:12" x14ac:dyDescent="0.2">
      <c r="A12" s="78"/>
      <c r="B12" s="83"/>
      <c r="C12" s="84"/>
      <c r="D12" s="12" t="s">
        <v>96</v>
      </c>
      <c r="E12" s="11" t="s">
        <v>10</v>
      </c>
      <c r="F12" s="26"/>
      <c r="G12" s="2"/>
      <c r="H12" s="29"/>
      <c r="I12" s="2"/>
      <c r="J12" s="2">
        <f>'防雷+墩顶装饰'!K43</f>
        <v>28807.318955999999</v>
      </c>
      <c r="K12" s="2"/>
      <c r="L12" s="2">
        <f t="shared" si="0"/>
        <v>28807.318955999999</v>
      </c>
    </row>
    <row r="13" spans="1:12" x14ac:dyDescent="0.2">
      <c r="A13" s="79"/>
      <c r="B13" s="63" t="s">
        <v>76</v>
      </c>
      <c r="C13" s="64"/>
      <c r="D13" s="64"/>
      <c r="E13" s="11" t="s">
        <v>10</v>
      </c>
      <c r="F13" s="26"/>
      <c r="G13" s="2"/>
      <c r="H13" s="29"/>
      <c r="I13" s="2"/>
      <c r="J13" s="2">
        <f>SUM(J9:J12)</f>
        <v>37373.375478176</v>
      </c>
      <c r="K13" s="2">
        <f>SUM(K9:K12)</f>
        <v>62.800000000000011</v>
      </c>
      <c r="L13" s="2">
        <f t="shared" si="0"/>
        <v>37436.175478176003</v>
      </c>
    </row>
    <row r="14" spans="1:12" x14ac:dyDescent="0.2">
      <c r="A14" s="65" t="s">
        <v>74</v>
      </c>
      <c r="B14" s="68" t="s">
        <v>75</v>
      </c>
      <c r="C14" s="69"/>
      <c r="D14" s="12">
        <v>32</v>
      </c>
      <c r="E14" s="11" t="s">
        <v>10</v>
      </c>
      <c r="F14" s="26">
        <v>31730.3</v>
      </c>
      <c r="G14" s="2"/>
      <c r="H14" s="29"/>
      <c r="I14" s="2"/>
      <c r="J14" s="2">
        <f>'防雷+墩顶装饰'!H52</f>
        <v>266.08007999999995</v>
      </c>
      <c r="K14" s="2"/>
      <c r="L14" s="2">
        <f t="shared" si="0"/>
        <v>31996.380079999999</v>
      </c>
    </row>
    <row r="15" spans="1:12" x14ac:dyDescent="0.2">
      <c r="A15" s="66"/>
      <c r="B15" s="70"/>
      <c r="C15" s="71"/>
      <c r="D15" s="12">
        <v>28</v>
      </c>
      <c r="E15" s="11" t="s">
        <v>10</v>
      </c>
      <c r="F15" s="26"/>
      <c r="G15" s="2">
        <f>承台!J9</f>
        <v>91471.892399999997</v>
      </c>
      <c r="H15" s="29"/>
      <c r="I15" s="2"/>
      <c r="J15" s="2"/>
      <c r="K15" s="2"/>
      <c r="L15" s="2">
        <f t="shared" si="0"/>
        <v>91471.892399999997</v>
      </c>
    </row>
    <row r="16" spans="1:12" x14ac:dyDescent="0.2">
      <c r="A16" s="66"/>
      <c r="B16" s="70"/>
      <c r="C16" s="71"/>
      <c r="D16" s="12">
        <v>25</v>
      </c>
      <c r="E16" s="11" t="s">
        <v>10</v>
      </c>
      <c r="F16" s="26">
        <v>12993.1</v>
      </c>
      <c r="G16" s="2"/>
      <c r="H16" s="29">
        <v>185934.6</v>
      </c>
      <c r="I16" s="2"/>
      <c r="J16" s="2"/>
      <c r="K16" s="2"/>
      <c r="L16" s="2">
        <f t="shared" si="0"/>
        <v>198927.7</v>
      </c>
    </row>
    <row r="17" spans="1:13" x14ac:dyDescent="0.2">
      <c r="A17" s="66"/>
      <c r="B17" s="70"/>
      <c r="C17" s="71"/>
      <c r="D17" s="12">
        <v>20</v>
      </c>
      <c r="E17" s="11" t="s">
        <v>10</v>
      </c>
      <c r="F17" s="26"/>
      <c r="G17" s="2">
        <f>承台!J14</f>
        <v>6130.0262400000001</v>
      </c>
      <c r="H17" s="29"/>
      <c r="I17" s="2"/>
      <c r="J17" s="2"/>
      <c r="K17" s="2"/>
      <c r="L17" s="2">
        <f t="shared" si="0"/>
        <v>6130.0262400000001</v>
      </c>
    </row>
    <row r="18" spans="1:13" x14ac:dyDescent="0.2">
      <c r="A18" s="66"/>
      <c r="B18" s="70"/>
      <c r="C18" s="71"/>
      <c r="D18" s="12">
        <v>16</v>
      </c>
      <c r="E18" s="11" t="s">
        <v>10</v>
      </c>
      <c r="F18" s="26">
        <v>32112</v>
      </c>
      <c r="G18" s="2">
        <f>承台!J15</f>
        <v>5624.1427199999998</v>
      </c>
      <c r="H18" s="29"/>
      <c r="I18" s="2">
        <f>'支座+垫石'!M24</f>
        <v>1389.7793760000002</v>
      </c>
      <c r="J18" s="2"/>
      <c r="K18" s="2">
        <f>'防雷+墩顶装饰'!G30</f>
        <v>96.696000000000012</v>
      </c>
      <c r="L18" s="2">
        <f t="shared" si="0"/>
        <v>39222.618096000006</v>
      </c>
    </row>
    <row r="19" spans="1:13" x14ac:dyDescent="0.2">
      <c r="A19" s="66"/>
      <c r="B19" s="70"/>
      <c r="C19" s="71"/>
      <c r="D19" s="12">
        <v>12</v>
      </c>
      <c r="E19" s="11" t="s">
        <v>10</v>
      </c>
      <c r="F19" s="26"/>
      <c r="G19" s="2"/>
      <c r="H19" s="29"/>
      <c r="I19" s="2">
        <f>'支座+垫石'!M25</f>
        <v>1787.3468640000001</v>
      </c>
      <c r="J19" s="2">
        <f>'防雷+墩顶装饰'!H51</f>
        <v>237.62880000000001</v>
      </c>
      <c r="K19" s="2"/>
      <c r="L19" s="2">
        <f t="shared" si="0"/>
        <v>2024.9756640000001</v>
      </c>
    </row>
    <row r="20" spans="1:13" x14ac:dyDescent="0.2">
      <c r="A20" s="66"/>
      <c r="B20" s="63" t="s">
        <v>90</v>
      </c>
      <c r="C20" s="63"/>
      <c r="D20" s="12">
        <v>10</v>
      </c>
      <c r="E20" s="11" t="s">
        <v>10</v>
      </c>
      <c r="F20" s="26"/>
      <c r="G20" s="2"/>
      <c r="H20" s="29">
        <v>45546.8</v>
      </c>
      <c r="I20" s="2"/>
      <c r="J20" s="2"/>
      <c r="K20" s="2">
        <f>'防雷+墩顶装饰'!G31</f>
        <v>19.911823999999999</v>
      </c>
      <c r="L20" s="2">
        <f t="shared" si="0"/>
        <v>45566.711824000005</v>
      </c>
    </row>
    <row r="21" spans="1:13" x14ac:dyDescent="0.2">
      <c r="A21" s="67"/>
      <c r="B21" s="63" t="s">
        <v>76</v>
      </c>
      <c r="C21" s="64"/>
      <c r="D21" s="64"/>
      <c r="E21" s="11" t="s">
        <v>10</v>
      </c>
      <c r="F21" s="26">
        <f>SUM(F14:F20)</f>
        <v>76835.399999999994</v>
      </c>
      <c r="G21" s="13">
        <f t="shared" ref="G21:K21" si="1">SUM(G14:G20)</f>
        <v>103226.06136000001</v>
      </c>
      <c r="H21" s="26">
        <f t="shared" si="1"/>
        <v>231481.40000000002</v>
      </c>
      <c r="I21" s="13">
        <f t="shared" si="1"/>
        <v>3177.1262400000005</v>
      </c>
      <c r="J21" s="13">
        <f t="shared" si="1"/>
        <v>503.70887999999997</v>
      </c>
      <c r="K21" s="13">
        <f t="shared" si="1"/>
        <v>116.60782400000001</v>
      </c>
      <c r="L21" s="2">
        <f t="shared" si="0"/>
        <v>415340.30430400005</v>
      </c>
      <c r="M21" s="22"/>
    </row>
    <row r="22" spans="1:13" x14ac:dyDescent="0.2">
      <c r="A22" s="63" t="s">
        <v>135</v>
      </c>
      <c r="B22" s="64"/>
      <c r="C22" s="64"/>
      <c r="D22" s="64"/>
      <c r="E22" s="11" t="s">
        <v>10</v>
      </c>
      <c r="F22" s="26"/>
      <c r="G22" s="2">
        <f>承台!J20</f>
        <v>5715.8407999999999</v>
      </c>
      <c r="H22" s="29"/>
      <c r="I22" s="2"/>
      <c r="J22" s="2"/>
      <c r="K22" s="2"/>
      <c r="L22" s="2">
        <f t="shared" si="0"/>
        <v>5715.8407999999999</v>
      </c>
    </row>
    <row r="23" spans="1:13" x14ac:dyDescent="0.2">
      <c r="A23" s="77" t="s">
        <v>77</v>
      </c>
      <c r="B23" s="74">
        <v>25</v>
      </c>
      <c r="C23" s="75"/>
      <c r="D23" s="76"/>
      <c r="E23" s="11" t="s">
        <v>62</v>
      </c>
      <c r="F23" s="27"/>
      <c r="G23" s="4"/>
      <c r="H23" s="30">
        <v>4256</v>
      </c>
      <c r="I23" s="4"/>
      <c r="J23" s="4"/>
      <c r="K23" s="4"/>
      <c r="L23" s="4">
        <f>SUM(F23:K23)</f>
        <v>4256</v>
      </c>
    </row>
    <row r="24" spans="1:13" x14ac:dyDescent="0.2">
      <c r="A24" s="78"/>
      <c r="B24" s="74">
        <v>28</v>
      </c>
      <c r="C24" s="75"/>
      <c r="D24" s="76"/>
      <c r="E24" s="11" t="s">
        <v>62</v>
      </c>
      <c r="F24" s="27"/>
      <c r="G24" s="4">
        <f>承台!J23</f>
        <v>492</v>
      </c>
      <c r="H24" s="30"/>
      <c r="I24" s="4"/>
      <c r="J24" s="4"/>
      <c r="K24" s="4"/>
      <c r="L24" s="4">
        <f>SUM(F24:K24)</f>
        <v>492</v>
      </c>
    </row>
    <row r="25" spans="1:13" ht="17.25" customHeight="1" x14ac:dyDescent="0.2">
      <c r="A25" s="79"/>
      <c r="B25" s="64">
        <v>32</v>
      </c>
      <c r="C25" s="64"/>
      <c r="D25" s="64"/>
      <c r="E25" s="11" t="s">
        <v>78</v>
      </c>
      <c r="F25" s="27">
        <v>544</v>
      </c>
      <c r="G25" s="4"/>
      <c r="H25" s="30"/>
      <c r="I25" s="4"/>
      <c r="J25" s="4"/>
      <c r="K25" s="4"/>
      <c r="L25" s="4">
        <f>SUM(F25:K25)</f>
        <v>544</v>
      </c>
    </row>
    <row r="26" spans="1:13" ht="17.25" customHeight="1" x14ac:dyDescent="0.2">
      <c r="A26" s="14" t="s">
        <v>54</v>
      </c>
      <c r="B26" s="74" t="s">
        <v>93</v>
      </c>
      <c r="C26" s="75"/>
      <c r="D26" s="12" t="s">
        <v>60</v>
      </c>
      <c r="E26" s="11" t="s">
        <v>78</v>
      </c>
      <c r="F26" s="27"/>
      <c r="G26" s="4"/>
      <c r="H26" s="30"/>
      <c r="I26" s="4"/>
      <c r="J26" s="4"/>
      <c r="K26" s="4">
        <f>'防雷+墩顶装饰'!G33</f>
        <v>32</v>
      </c>
      <c r="L26" s="4">
        <f t="shared" si="0"/>
        <v>32</v>
      </c>
    </row>
    <row r="27" spans="1:13" x14ac:dyDescent="0.2">
      <c r="A27" s="11" t="s">
        <v>79</v>
      </c>
      <c r="B27" s="11" t="s">
        <v>80</v>
      </c>
      <c r="C27" s="63" t="s">
        <v>131</v>
      </c>
      <c r="D27" s="64"/>
      <c r="E27" s="11" t="s">
        <v>10</v>
      </c>
      <c r="F27" s="26"/>
      <c r="G27" s="2"/>
      <c r="H27" s="29">
        <v>24162.799999999999</v>
      </c>
      <c r="I27" s="2"/>
      <c r="J27" s="2"/>
      <c r="K27" s="2"/>
      <c r="L27" s="2">
        <f t="shared" si="0"/>
        <v>24162.799999999999</v>
      </c>
    </row>
    <row r="28" spans="1:13" ht="16.5" x14ac:dyDescent="0.2">
      <c r="A28" s="15" t="s">
        <v>81</v>
      </c>
      <c r="B28" s="72" t="s">
        <v>82</v>
      </c>
      <c r="C28" s="73"/>
      <c r="D28" s="73"/>
      <c r="E28" s="16" t="s">
        <v>83</v>
      </c>
      <c r="F28" s="26">
        <v>448.7</v>
      </c>
      <c r="G28" s="2"/>
      <c r="H28" s="29"/>
      <c r="I28" s="2"/>
      <c r="J28" s="2">
        <f>'防雷+墩顶装饰'!K44</f>
        <v>651.30647623999994</v>
      </c>
      <c r="K28" s="2"/>
      <c r="L28" s="2">
        <f t="shared" si="0"/>
        <v>1100.00647624</v>
      </c>
    </row>
    <row r="29" spans="1:13" x14ac:dyDescent="0.2">
      <c r="A29" s="1" t="s">
        <v>49</v>
      </c>
      <c r="B29" s="35" t="s">
        <v>168</v>
      </c>
      <c r="C29" s="35"/>
      <c r="D29" s="35"/>
      <c r="E29" s="11" t="s">
        <v>18</v>
      </c>
      <c r="F29" s="28"/>
      <c r="G29" s="1"/>
      <c r="H29" s="28"/>
      <c r="I29" s="1"/>
      <c r="J29" s="1"/>
      <c r="K29" s="1">
        <f>'防雷+墩顶装饰'!G34</f>
        <v>16</v>
      </c>
      <c r="L29" s="2">
        <f t="shared" si="0"/>
        <v>16</v>
      </c>
    </row>
    <row r="30" spans="1:13" x14ac:dyDescent="0.2">
      <c r="A30" s="35" t="s">
        <v>130</v>
      </c>
      <c r="B30" s="35"/>
      <c r="C30" s="35"/>
      <c r="D30" s="35"/>
      <c r="E30" s="1" t="s">
        <v>62</v>
      </c>
      <c r="F30" s="30"/>
      <c r="G30" s="4"/>
      <c r="H30" s="30">
        <v>3976</v>
      </c>
      <c r="I30" s="4"/>
      <c r="J30" s="4"/>
      <c r="K30" s="4"/>
      <c r="L30" s="4">
        <f t="shared" si="0"/>
        <v>3976</v>
      </c>
    </row>
    <row r="31" spans="1:13" x14ac:dyDescent="0.2">
      <c r="A31" s="1" t="s">
        <v>136</v>
      </c>
      <c r="B31" s="35" t="s">
        <v>137</v>
      </c>
      <c r="C31" s="35"/>
      <c r="D31" s="35"/>
      <c r="E31" s="11" t="s">
        <v>10</v>
      </c>
      <c r="F31" s="28"/>
      <c r="G31" s="1">
        <f>承台!J34</f>
        <v>1807.7002</v>
      </c>
      <c r="H31" s="28"/>
      <c r="I31" s="1"/>
      <c r="J31" s="1"/>
      <c r="K31" s="1"/>
      <c r="L31" s="2">
        <f t="shared" si="0"/>
        <v>1807.7002</v>
      </c>
    </row>
    <row r="32" spans="1:13" x14ac:dyDescent="0.2">
      <c r="A32" s="35" t="s">
        <v>138</v>
      </c>
      <c r="B32" s="35" t="s">
        <v>160</v>
      </c>
      <c r="C32" s="35"/>
      <c r="D32" s="35"/>
      <c r="E32" s="1" t="s">
        <v>62</v>
      </c>
      <c r="F32" s="28"/>
      <c r="G32" s="1"/>
      <c r="H32" s="28"/>
      <c r="I32" s="1">
        <v>1</v>
      </c>
      <c r="J32" s="1"/>
      <c r="K32" s="1"/>
      <c r="L32" s="4">
        <f t="shared" si="0"/>
        <v>1</v>
      </c>
    </row>
    <row r="33" spans="1:12" x14ac:dyDescent="0.2">
      <c r="A33" s="35"/>
      <c r="B33" s="35" t="s">
        <v>162</v>
      </c>
      <c r="C33" s="35"/>
      <c r="D33" s="35"/>
      <c r="E33" s="1" t="s">
        <v>62</v>
      </c>
      <c r="F33" s="28"/>
      <c r="G33" s="1"/>
      <c r="H33" s="28"/>
      <c r="I33" s="1">
        <v>1</v>
      </c>
      <c r="J33" s="1"/>
      <c r="K33" s="1"/>
      <c r="L33" s="4">
        <f t="shared" si="0"/>
        <v>1</v>
      </c>
    </row>
    <row r="34" spans="1:12" x14ac:dyDescent="0.2">
      <c r="A34" s="35"/>
      <c r="B34" s="35" t="s">
        <v>164</v>
      </c>
      <c r="C34" s="35"/>
      <c r="D34" s="35"/>
      <c r="E34" s="1" t="s">
        <v>62</v>
      </c>
      <c r="F34" s="28"/>
      <c r="G34" s="1"/>
      <c r="H34" s="28"/>
      <c r="I34" s="1">
        <v>1</v>
      </c>
      <c r="J34" s="1"/>
      <c r="K34" s="1"/>
      <c r="L34" s="4">
        <f t="shared" si="0"/>
        <v>1</v>
      </c>
    </row>
    <row r="35" spans="1:12" x14ac:dyDescent="0.2">
      <c r="A35" s="35"/>
      <c r="B35" s="35" t="s">
        <v>166</v>
      </c>
      <c r="C35" s="35"/>
      <c r="D35" s="35"/>
      <c r="E35" s="1" t="s">
        <v>62</v>
      </c>
      <c r="F35" s="28"/>
      <c r="G35" s="1"/>
      <c r="H35" s="28"/>
      <c r="I35" s="1">
        <v>1</v>
      </c>
      <c r="J35" s="1"/>
      <c r="K35" s="1"/>
      <c r="L35" s="4">
        <f t="shared" si="0"/>
        <v>1</v>
      </c>
    </row>
    <row r="36" spans="1:12" x14ac:dyDescent="0.2">
      <c r="A36" s="35"/>
      <c r="B36" s="35" t="s">
        <v>174</v>
      </c>
      <c r="C36" s="35"/>
      <c r="D36" s="35"/>
      <c r="E36" s="1" t="s">
        <v>62</v>
      </c>
      <c r="F36" s="28"/>
      <c r="G36" s="1"/>
      <c r="H36" s="28"/>
      <c r="I36" s="1">
        <v>1</v>
      </c>
      <c r="J36" s="1"/>
      <c r="K36" s="1"/>
      <c r="L36" s="4">
        <f t="shared" si="0"/>
        <v>1</v>
      </c>
    </row>
    <row r="37" spans="1:12" x14ac:dyDescent="0.2">
      <c r="A37" s="35"/>
      <c r="B37" s="35" t="s">
        <v>172</v>
      </c>
      <c r="C37" s="35"/>
      <c r="D37" s="35"/>
      <c r="E37" s="1" t="s">
        <v>62</v>
      </c>
      <c r="F37" s="28"/>
      <c r="G37" s="1"/>
      <c r="H37" s="28"/>
      <c r="I37" s="1">
        <v>2</v>
      </c>
      <c r="J37" s="1"/>
      <c r="K37" s="1"/>
      <c r="L37" s="4">
        <f t="shared" si="0"/>
        <v>2</v>
      </c>
    </row>
    <row r="38" spans="1:12" x14ac:dyDescent="0.2">
      <c r="A38" s="35"/>
      <c r="B38" s="35" t="s">
        <v>173</v>
      </c>
      <c r="C38" s="35"/>
      <c r="D38" s="35"/>
      <c r="E38" s="1" t="s">
        <v>62</v>
      </c>
      <c r="F38" s="28"/>
      <c r="G38" s="1"/>
      <c r="H38" s="28"/>
      <c r="I38" s="1">
        <v>1</v>
      </c>
      <c r="J38" s="1"/>
      <c r="K38" s="1"/>
      <c r="L38" s="4">
        <f t="shared" si="0"/>
        <v>1</v>
      </c>
    </row>
    <row r="39" spans="1:12" x14ac:dyDescent="0.2">
      <c r="A39" s="35"/>
      <c r="B39" s="35" t="s">
        <v>169</v>
      </c>
      <c r="C39" s="35"/>
      <c r="D39" s="35"/>
      <c r="E39" s="1" t="s">
        <v>62</v>
      </c>
      <c r="F39" s="28"/>
      <c r="G39" s="1"/>
      <c r="H39" s="28"/>
      <c r="I39" s="1">
        <v>4</v>
      </c>
      <c r="J39" s="1"/>
      <c r="K39" s="1"/>
      <c r="L39" s="4">
        <f t="shared" si="0"/>
        <v>4</v>
      </c>
    </row>
  </sheetData>
  <mergeCells count="34">
    <mergeCell ref="B4:D4"/>
    <mergeCell ref="B6:D6"/>
    <mergeCell ref="B20:C20"/>
    <mergeCell ref="B9:C9"/>
    <mergeCell ref="B26:C26"/>
    <mergeCell ref="B23:D23"/>
    <mergeCell ref="B10:C12"/>
    <mergeCell ref="A22:D22"/>
    <mergeCell ref="B25:D25"/>
    <mergeCell ref="A23:A25"/>
    <mergeCell ref="A30:D30"/>
    <mergeCell ref="A5:A8"/>
    <mergeCell ref="B5:D5"/>
    <mergeCell ref="B7:D7"/>
    <mergeCell ref="B8:D8"/>
    <mergeCell ref="A14:A21"/>
    <mergeCell ref="B14:C19"/>
    <mergeCell ref="B21:D21"/>
    <mergeCell ref="B29:D29"/>
    <mergeCell ref="C27:D27"/>
    <mergeCell ref="B28:D28"/>
    <mergeCell ref="B24:D24"/>
    <mergeCell ref="A9:A13"/>
    <mergeCell ref="B13:D13"/>
    <mergeCell ref="B31:D31"/>
    <mergeCell ref="B32:D32"/>
    <mergeCell ref="A32:A39"/>
    <mergeCell ref="B33:D33"/>
    <mergeCell ref="B34:D34"/>
    <mergeCell ref="B35:D35"/>
    <mergeCell ref="B36:D36"/>
    <mergeCell ref="B37:D37"/>
    <mergeCell ref="B38:D38"/>
    <mergeCell ref="B39:D39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承台</vt:lpstr>
      <vt:lpstr>支座+垫石</vt:lpstr>
      <vt:lpstr>防雷+墩顶装饰</vt:lpstr>
      <vt:lpstr>主桥下部数量表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高海洋</dc:creator>
  <cp:lastModifiedBy>高海洋</cp:lastModifiedBy>
  <dcterms:created xsi:type="dcterms:W3CDTF">2015-06-05T18:19:34Z</dcterms:created>
  <dcterms:modified xsi:type="dcterms:W3CDTF">2022-12-28T00:47:08Z</dcterms:modified>
</cp:coreProperties>
</file>