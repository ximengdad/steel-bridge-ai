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0CEFCFAE-5FF1-458D-9C73-5D9A18FD5C3E}" xr6:coauthVersionLast="47" xr6:coauthVersionMax="47" xr10:uidLastSave="{00000000-0000-0000-0000-000000000000}"/>
  <bookViews>
    <workbookView xWindow="-108" yWindow="-108" windowWidth="23256" windowHeight="12576" firstSheet="3" activeTab="5" xr2:uid="{00000000-000D-0000-FFFF-FFFF00000000}"/>
  </bookViews>
  <sheets>
    <sheet name="梁段划分" sheetId="5" r:id="rId1"/>
    <sheet name="A类梁段" sheetId="1" r:id="rId2"/>
    <sheet name="B1类梁段" sheetId="6" r:id="rId3"/>
    <sheet name="B2类梁段" sheetId="8" r:id="rId4"/>
    <sheet name="C1类梁段" sheetId="7" r:id="rId5"/>
    <sheet name="C2类梁段" sheetId="9" r:id="rId6"/>
    <sheet name="结合段拱+连梁" sheetId="12" r:id="rId7"/>
    <sheet name="临时吊点+匹配件+工地" sheetId="2" r:id="rId8"/>
    <sheet name="密封门及检查孔" sheetId="10" r:id="rId9"/>
    <sheet name="主梁工程数量表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3" i="9" l="1"/>
  <c r="N83" i="9" s="1"/>
  <c r="M84" i="9"/>
  <c r="N84" i="9" s="1"/>
  <c r="M85" i="9"/>
  <c r="N85" i="9" s="1"/>
  <c r="M86" i="9"/>
  <c r="N86" i="9" s="1"/>
  <c r="M87" i="9"/>
  <c r="N87" i="9" s="1"/>
  <c r="C84" i="9"/>
  <c r="E84" i="9"/>
  <c r="F84" i="9" s="1"/>
  <c r="C85" i="9"/>
  <c r="E85" i="9"/>
  <c r="F85" i="9" s="1"/>
  <c r="C86" i="9"/>
  <c r="E86" i="9"/>
  <c r="F86" i="9" s="1"/>
  <c r="C87" i="9"/>
  <c r="E87" i="9"/>
  <c r="F87" i="9" s="1"/>
  <c r="E83" i="9"/>
  <c r="F83" i="9" s="1"/>
  <c r="C83" i="9"/>
  <c r="M81" i="7"/>
  <c r="N81" i="7" s="1"/>
  <c r="M82" i="7"/>
  <c r="N82" i="7" s="1"/>
  <c r="M83" i="7"/>
  <c r="N83" i="7" s="1"/>
  <c r="M84" i="7"/>
  <c r="N84" i="7" s="1"/>
  <c r="M85" i="7"/>
  <c r="N85" i="7" s="1"/>
  <c r="C82" i="7"/>
  <c r="E82" i="7"/>
  <c r="F82" i="7" s="1"/>
  <c r="C83" i="7"/>
  <c r="E83" i="7"/>
  <c r="F83" i="7" s="1"/>
  <c r="C84" i="7"/>
  <c r="E84" i="7"/>
  <c r="F84" i="7" s="1"/>
  <c r="C85" i="7"/>
  <c r="E85" i="7"/>
  <c r="F85" i="7" s="1"/>
  <c r="E81" i="7"/>
  <c r="F81" i="7" s="1"/>
  <c r="C81" i="7"/>
  <c r="F74" i="12" l="1"/>
  <c r="I73" i="12"/>
  <c r="C73" i="12" s="1"/>
  <c r="M73" i="12"/>
  <c r="N73" i="12" s="1"/>
  <c r="E73" i="12"/>
  <c r="F73" i="12" s="1"/>
  <c r="M58" i="12"/>
  <c r="N58" i="12" s="1"/>
  <c r="C58" i="12"/>
  <c r="E58" i="12"/>
  <c r="F58" i="12" s="1"/>
  <c r="I27" i="12"/>
  <c r="C27" i="12" s="1"/>
  <c r="E27" i="12"/>
  <c r="F27" i="12" s="1"/>
  <c r="M12" i="12"/>
  <c r="N12" i="12" s="1"/>
  <c r="E12" i="12"/>
  <c r="F12" i="12" s="1"/>
  <c r="C12" i="12"/>
  <c r="L82" i="9"/>
  <c r="L81" i="9"/>
  <c r="L80" i="9"/>
  <c r="L79" i="7"/>
  <c r="L78" i="7"/>
  <c r="L80" i="7"/>
  <c r="M61" i="12"/>
  <c r="N61" i="12" s="1"/>
  <c r="M62" i="12"/>
  <c r="N62" i="12" s="1"/>
  <c r="M63" i="12"/>
  <c r="N63" i="12" s="1"/>
  <c r="M64" i="12"/>
  <c r="N64" i="12" s="1"/>
  <c r="M65" i="12"/>
  <c r="N65" i="12" s="1"/>
  <c r="M66" i="12"/>
  <c r="N66" i="12" s="1"/>
  <c r="M67" i="12"/>
  <c r="N67" i="12" s="1"/>
  <c r="I68" i="12"/>
  <c r="E67" i="12"/>
  <c r="F67" i="12" s="1"/>
  <c r="C67" i="12"/>
  <c r="E65" i="12"/>
  <c r="F65" i="12" s="1"/>
  <c r="C65" i="12"/>
  <c r="E63" i="12"/>
  <c r="F63" i="12" s="1"/>
  <c r="C63" i="12"/>
  <c r="E61" i="12"/>
  <c r="F61" i="12" s="1"/>
  <c r="C61" i="12"/>
  <c r="I22" i="12"/>
  <c r="M19" i="12"/>
  <c r="N19" i="12" s="1"/>
  <c r="M20" i="12"/>
  <c r="N20" i="12" s="1"/>
  <c r="M21" i="12"/>
  <c r="N21" i="12" s="1"/>
  <c r="E21" i="12"/>
  <c r="F21" i="12" s="1"/>
  <c r="C21" i="12"/>
  <c r="E19" i="12"/>
  <c r="F19" i="12" s="1"/>
  <c r="C19" i="12"/>
  <c r="M17" i="12"/>
  <c r="N17" i="12" s="1"/>
  <c r="E17" i="12"/>
  <c r="F17" i="12" s="1"/>
  <c r="C17" i="12"/>
  <c r="M15" i="12"/>
  <c r="N15" i="12" s="1"/>
  <c r="E15" i="12"/>
  <c r="F15" i="12" s="1"/>
  <c r="C15" i="12"/>
  <c r="M91" i="9"/>
  <c r="N91" i="9" s="1"/>
  <c r="C91" i="9"/>
  <c r="E91" i="9"/>
  <c r="F91" i="9" s="1"/>
  <c r="M78" i="9"/>
  <c r="N78" i="9" s="1"/>
  <c r="C78" i="9"/>
  <c r="E78" i="9"/>
  <c r="D77" i="9"/>
  <c r="D76" i="9"/>
  <c r="K72" i="9"/>
  <c r="K71" i="9"/>
  <c r="L61" i="9"/>
  <c r="K29" i="9"/>
  <c r="E29" i="9" s="1"/>
  <c r="K26" i="7"/>
  <c r="K26" i="9"/>
  <c r="K15" i="9"/>
  <c r="K13" i="9"/>
  <c r="K8" i="7"/>
  <c r="K8" i="9"/>
  <c r="C80" i="7"/>
  <c r="N96" i="7"/>
  <c r="M76" i="7"/>
  <c r="N76" i="7" s="1"/>
  <c r="E76" i="7"/>
  <c r="F76" i="7" s="1"/>
  <c r="C76" i="7"/>
  <c r="D89" i="7"/>
  <c r="M89" i="7"/>
  <c r="E89" i="7"/>
  <c r="C89" i="7"/>
  <c r="I87" i="12"/>
  <c r="E87" i="12" s="1"/>
  <c r="F87" i="12" s="1"/>
  <c r="E88" i="12"/>
  <c r="F88" i="12" s="1"/>
  <c r="C96" i="12" s="1"/>
  <c r="C88" i="12"/>
  <c r="M86" i="12"/>
  <c r="N86" i="12" s="1"/>
  <c r="E86" i="12"/>
  <c r="F86" i="12" s="1"/>
  <c r="C86" i="12"/>
  <c r="M85" i="12"/>
  <c r="N85" i="12" s="1"/>
  <c r="E85" i="12"/>
  <c r="F85" i="12" s="1"/>
  <c r="C85" i="12"/>
  <c r="M84" i="12"/>
  <c r="N84" i="12" s="1"/>
  <c r="E84" i="12"/>
  <c r="F84" i="12" s="1"/>
  <c r="C84" i="12"/>
  <c r="M83" i="12"/>
  <c r="N83" i="12" s="1"/>
  <c r="E83" i="12"/>
  <c r="F83" i="12" s="1"/>
  <c r="C83" i="12"/>
  <c r="M82" i="12"/>
  <c r="N82" i="12" s="1"/>
  <c r="E82" i="12"/>
  <c r="F82" i="12" s="1"/>
  <c r="C82" i="12"/>
  <c r="M27" i="12" l="1"/>
  <c r="N27" i="12" s="1"/>
  <c r="M87" i="12"/>
  <c r="N87" i="12" s="1"/>
  <c r="C97" i="12"/>
  <c r="F89" i="7"/>
  <c r="F78" i="9"/>
  <c r="C29" i="9"/>
  <c r="N89" i="7"/>
  <c r="F89" i="12"/>
  <c r="C87" i="12"/>
  <c r="I72" i="12"/>
  <c r="C72" i="12" s="1"/>
  <c r="I71" i="12"/>
  <c r="M71" i="12" s="1"/>
  <c r="N71" i="12" s="1"/>
  <c r="I70" i="12"/>
  <c r="M70" i="12" s="1"/>
  <c r="N70" i="12" s="1"/>
  <c r="I69" i="12"/>
  <c r="M69" i="12" s="1"/>
  <c r="N69" i="12" s="1"/>
  <c r="E68" i="12"/>
  <c r="F68" i="12" s="1"/>
  <c r="E66" i="12"/>
  <c r="F66" i="12" s="1"/>
  <c r="C66" i="12"/>
  <c r="E64" i="12"/>
  <c r="F64" i="12" s="1"/>
  <c r="C64" i="12"/>
  <c r="E62" i="12"/>
  <c r="F62" i="12" s="1"/>
  <c r="C62" i="12"/>
  <c r="M60" i="12"/>
  <c r="N60" i="12" s="1"/>
  <c r="E60" i="12"/>
  <c r="F60" i="12" s="1"/>
  <c r="C60" i="12"/>
  <c r="M59" i="12"/>
  <c r="N59" i="12" s="1"/>
  <c r="E59" i="12"/>
  <c r="F59" i="12" s="1"/>
  <c r="C59" i="12"/>
  <c r="M57" i="12"/>
  <c r="N57" i="12" s="1"/>
  <c r="E57" i="12"/>
  <c r="F57" i="12" s="1"/>
  <c r="C57" i="12"/>
  <c r="M56" i="12"/>
  <c r="N56" i="12" s="1"/>
  <c r="E56" i="12"/>
  <c r="F56" i="12" s="1"/>
  <c r="C56" i="12"/>
  <c r="M55" i="12"/>
  <c r="N55" i="12" s="1"/>
  <c r="E55" i="12"/>
  <c r="F55" i="12" s="1"/>
  <c r="C55" i="12"/>
  <c r="M54" i="12"/>
  <c r="N54" i="12" s="1"/>
  <c r="E54" i="12"/>
  <c r="F54" i="12" s="1"/>
  <c r="C54" i="12"/>
  <c r="M53" i="12"/>
  <c r="N53" i="12" s="1"/>
  <c r="E53" i="12"/>
  <c r="F53" i="12" s="1"/>
  <c r="C102" i="12" s="1"/>
  <c r="C53" i="12"/>
  <c r="M52" i="12"/>
  <c r="N52" i="12" s="1"/>
  <c r="E52" i="12"/>
  <c r="F52" i="12" s="1"/>
  <c r="C100" i="12" s="1"/>
  <c r="C52" i="12"/>
  <c r="I41" i="12"/>
  <c r="M41" i="12" s="1"/>
  <c r="N41" i="12" s="1"/>
  <c r="C42" i="12"/>
  <c r="E42" i="12"/>
  <c r="F42" i="12" s="1"/>
  <c r="B96" i="12" s="1"/>
  <c r="D96" i="12" s="1"/>
  <c r="M40" i="12"/>
  <c r="N40" i="12" s="1"/>
  <c r="M39" i="12"/>
  <c r="N39" i="12" s="1"/>
  <c r="E39" i="12"/>
  <c r="F39" i="12" s="1"/>
  <c r="C39" i="12"/>
  <c r="E40" i="12"/>
  <c r="F40" i="12" s="1"/>
  <c r="C40" i="12"/>
  <c r="M38" i="12"/>
  <c r="N38" i="12" s="1"/>
  <c r="E38" i="12"/>
  <c r="F38" i="12" s="1"/>
  <c r="C38" i="12"/>
  <c r="M37" i="12"/>
  <c r="N37" i="12" s="1"/>
  <c r="E37" i="12"/>
  <c r="F37" i="12" s="1"/>
  <c r="C37" i="12"/>
  <c r="M36" i="12"/>
  <c r="N36" i="12" s="1"/>
  <c r="E36" i="12"/>
  <c r="F36" i="12" s="1"/>
  <c r="C36" i="12"/>
  <c r="I26" i="12"/>
  <c r="E26" i="12" s="1"/>
  <c r="F26" i="12" s="1"/>
  <c r="I25" i="12"/>
  <c r="C25" i="12" s="1"/>
  <c r="I24" i="12"/>
  <c r="E24" i="12" s="1"/>
  <c r="F24" i="12" s="1"/>
  <c r="I23" i="12"/>
  <c r="M23" i="12" s="1"/>
  <c r="N23" i="12" s="1"/>
  <c r="C22" i="12"/>
  <c r="C18" i="12"/>
  <c r="E14" i="12"/>
  <c r="F14" i="12" s="1"/>
  <c r="C14" i="12"/>
  <c r="E9" i="12"/>
  <c r="F9" i="12" s="1"/>
  <c r="C9" i="12"/>
  <c r="E8" i="12"/>
  <c r="F8" i="12" s="1"/>
  <c r="C8" i="12"/>
  <c r="M26" i="12"/>
  <c r="N26" i="12" s="1"/>
  <c r="M25" i="12"/>
  <c r="N25" i="12" s="1"/>
  <c r="M18" i="12"/>
  <c r="N18" i="12" s="1"/>
  <c r="E18" i="12"/>
  <c r="F18" i="12" s="1"/>
  <c r="M16" i="12"/>
  <c r="N16" i="12" s="1"/>
  <c r="E16" i="12"/>
  <c r="F16" i="12" s="1"/>
  <c r="C16" i="12"/>
  <c r="M14" i="12"/>
  <c r="N14" i="12" s="1"/>
  <c r="M13" i="12"/>
  <c r="N13" i="12" s="1"/>
  <c r="E13" i="12"/>
  <c r="F13" i="12" s="1"/>
  <c r="C13" i="12"/>
  <c r="M11" i="12"/>
  <c r="N11" i="12" s="1"/>
  <c r="E11" i="12"/>
  <c r="F11" i="12" s="1"/>
  <c r="C11" i="12"/>
  <c r="C10" i="12"/>
  <c r="E10" i="12"/>
  <c r="F10" i="12" s="1"/>
  <c r="M9" i="12"/>
  <c r="N9" i="12" s="1"/>
  <c r="M8" i="12"/>
  <c r="N8" i="12" s="1"/>
  <c r="M7" i="12"/>
  <c r="N7" i="12" s="1"/>
  <c r="E7" i="12"/>
  <c r="F7" i="12" s="1"/>
  <c r="B102" i="12" s="1"/>
  <c r="C7" i="12"/>
  <c r="M6" i="12"/>
  <c r="N6" i="12" s="1"/>
  <c r="E6" i="12"/>
  <c r="F6" i="12" s="1"/>
  <c r="C6" i="12"/>
  <c r="K19" i="11"/>
  <c r="I20" i="11"/>
  <c r="H20" i="11"/>
  <c r="G20" i="11"/>
  <c r="P22" i="2"/>
  <c r="P7" i="2"/>
  <c r="K22" i="11"/>
  <c r="I19" i="11"/>
  <c r="H18" i="11"/>
  <c r="K18" i="11" s="1"/>
  <c r="I4" i="11"/>
  <c r="I17" i="11" s="1"/>
  <c r="H13" i="11"/>
  <c r="K13" i="11" s="1"/>
  <c r="H6" i="11"/>
  <c r="H4" i="11"/>
  <c r="H17" i="11" s="1"/>
  <c r="G7" i="11"/>
  <c r="G6" i="11"/>
  <c r="I4" i="2"/>
  <c r="I5" i="2" s="1"/>
  <c r="D50" i="2"/>
  <c r="D49" i="2"/>
  <c r="D48" i="2"/>
  <c r="M7" i="9"/>
  <c r="N7" i="9" s="1"/>
  <c r="M8" i="9"/>
  <c r="N8" i="9" s="1"/>
  <c r="M9" i="9"/>
  <c r="N9" i="9" s="1"/>
  <c r="M11" i="9"/>
  <c r="N11" i="9" s="1"/>
  <c r="M12" i="9"/>
  <c r="N12" i="9" s="1"/>
  <c r="M13" i="9"/>
  <c r="N13" i="9" s="1"/>
  <c r="M14" i="9"/>
  <c r="N14" i="9" s="1"/>
  <c r="M15" i="9"/>
  <c r="N15" i="9" s="1"/>
  <c r="M17" i="9"/>
  <c r="N17" i="9" s="1"/>
  <c r="M18" i="9"/>
  <c r="N18" i="9" s="1"/>
  <c r="M19" i="9"/>
  <c r="N19" i="9" s="1"/>
  <c r="M21" i="9"/>
  <c r="N21" i="9" s="1"/>
  <c r="M23" i="9"/>
  <c r="N23" i="9" s="1"/>
  <c r="M25" i="9"/>
  <c r="N25" i="9" s="1"/>
  <c r="M27" i="9"/>
  <c r="M28" i="9"/>
  <c r="M29" i="9"/>
  <c r="N29" i="9" s="1"/>
  <c r="M31" i="9"/>
  <c r="N31" i="9" s="1"/>
  <c r="M32" i="9"/>
  <c r="N32" i="9" s="1"/>
  <c r="M33" i="9"/>
  <c r="N33" i="9" s="1"/>
  <c r="M34" i="9"/>
  <c r="N34" i="9" s="1"/>
  <c r="M35" i="9"/>
  <c r="N35" i="9" s="1"/>
  <c r="M36" i="9"/>
  <c r="N36" i="9" s="1"/>
  <c r="M37" i="9"/>
  <c r="N37" i="9" s="1"/>
  <c r="M38" i="9"/>
  <c r="N38" i="9" s="1"/>
  <c r="M39" i="9"/>
  <c r="N39" i="9" s="1"/>
  <c r="M40" i="9"/>
  <c r="N40" i="9" s="1"/>
  <c r="M41" i="9"/>
  <c r="N41" i="9" s="1"/>
  <c r="M43" i="9"/>
  <c r="N43" i="9" s="1"/>
  <c r="M44" i="9"/>
  <c r="N44" i="9" s="1"/>
  <c r="M45" i="9"/>
  <c r="N45" i="9" s="1"/>
  <c r="M46" i="9"/>
  <c r="N46" i="9" s="1"/>
  <c r="M47" i="9"/>
  <c r="N47" i="9" s="1"/>
  <c r="M48" i="9"/>
  <c r="N48" i="9" s="1"/>
  <c r="M49" i="9"/>
  <c r="N49" i="9" s="1"/>
  <c r="M50" i="9"/>
  <c r="N50" i="9" s="1"/>
  <c r="M51" i="9"/>
  <c r="N51" i="9" s="1"/>
  <c r="M52" i="9"/>
  <c r="N52" i="9" s="1"/>
  <c r="M53" i="9"/>
  <c r="N53" i="9" s="1"/>
  <c r="M54" i="9"/>
  <c r="N54" i="9" s="1"/>
  <c r="M55" i="9"/>
  <c r="N55" i="9" s="1"/>
  <c r="M56" i="9"/>
  <c r="N56" i="9" s="1"/>
  <c r="M57" i="9"/>
  <c r="N57" i="9" s="1"/>
  <c r="M58" i="9"/>
  <c r="N58" i="9" s="1"/>
  <c r="M59" i="9"/>
  <c r="N59" i="9" s="1"/>
  <c r="M60" i="9"/>
  <c r="N60" i="9" s="1"/>
  <c r="M61" i="9"/>
  <c r="N61" i="9" s="1"/>
  <c r="M66" i="9"/>
  <c r="N66" i="9" s="1"/>
  <c r="M69" i="9"/>
  <c r="N69" i="9" s="1"/>
  <c r="M73" i="9"/>
  <c r="N73" i="9" s="1"/>
  <c r="M74" i="9"/>
  <c r="N74" i="9" s="1"/>
  <c r="M75" i="9"/>
  <c r="N75" i="9" s="1"/>
  <c r="M76" i="9"/>
  <c r="N76" i="9" s="1"/>
  <c r="M77" i="9"/>
  <c r="N77" i="9" s="1"/>
  <c r="M79" i="9"/>
  <c r="N79" i="9" s="1"/>
  <c r="M80" i="9"/>
  <c r="N80" i="9" s="1"/>
  <c r="M81" i="9"/>
  <c r="N81" i="9" s="1"/>
  <c r="M82" i="9"/>
  <c r="N82" i="9" s="1"/>
  <c r="M90" i="9"/>
  <c r="N90" i="9" s="1"/>
  <c r="M7" i="7"/>
  <c r="N7" i="7" s="1"/>
  <c r="M9" i="7"/>
  <c r="N9" i="7" s="1"/>
  <c r="M12" i="7"/>
  <c r="N12" i="7" s="1"/>
  <c r="M14" i="7"/>
  <c r="N14" i="7" s="1"/>
  <c r="M17" i="7"/>
  <c r="N17" i="7" s="1"/>
  <c r="M18" i="7"/>
  <c r="N18" i="7" s="1"/>
  <c r="M19" i="7"/>
  <c r="N19" i="7" s="1"/>
  <c r="M20" i="7"/>
  <c r="N20" i="7" s="1"/>
  <c r="M21" i="7"/>
  <c r="N21" i="7" s="1"/>
  <c r="M23" i="7"/>
  <c r="N23" i="7" s="1"/>
  <c r="M27" i="7"/>
  <c r="M28" i="7"/>
  <c r="N28" i="7" s="1"/>
  <c r="M30" i="7"/>
  <c r="M33" i="7"/>
  <c r="N33" i="7" s="1"/>
  <c r="M35" i="7"/>
  <c r="N35" i="7" s="1"/>
  <c r="M36" i="7"/>
  <c r="N36" i="7" s="1"/>
  <c r="M37" i="7"/>
  <c r="N37" i="7" s="1"/>
  <c r="M39" i="7"/>
  <c r="N39" i="7" s="1"/>
  <c r="M40" i="7"/>
  <c r="N40" i="7" s="1"/>
  <c r="M43" i="7"/>
  <c r="N43" i="7" s="1"/>
  <c r="M44" i="7"/>
  <c r="N44" i="7" s="1"/>
  <c r="M45" i="7"/>
  <c r="N45" i="7" s="1"/>
  <c r="M47" i="7"/>
  <c r="N47" i="7" s="1"/>
  <c r="M48" i="7"/>
  <c r="N48" i="7" s="1"/>
  <c r="M49" i="7"/>
  <c r="N49" i="7" s="1"/>
  <c r="M51" i="7"/>
  <c r="N51" i="7" s="1"/>
  <c r="M52" i="7"/>
  <c r="N52" i="7" s="1"/>
  <c r="M53" i="7"/>
  <c r="N53" i="7" s="1"/>
  <c r="M55" i="7"/>
  <c r="N55" i="7" s="1"/>
  <c r="M56" i="7"/>
  <c r="N56" i="7" s="1"/>
  <c r="M57" i="7"/>
  <c r="N57" i="7" s="1"/>
  <c r="M64" i="7"/>
  <c r="N64" i="7" s="1"/>
  <c r="M67" i="7"/>
  <c r="N67" i="7" s="1"/>
  <c r="M71" i="7"/>
  <c r="M72" i="7"/>
  <c r="M73" i="7"/>
  <c r="M74" i="7"/>
  <c r="M75" i="7"/>
  <c r="M77" i="7"/>
  <c r="N77" i="7" s="1"/>
  <c r="M80" i="7"/>
  <c r="N80" i="7" s="1"/>
  <c r="M88" i="7"/>
  <c r="N88" i="7" s="1"/>
  <c r="M22" i="8"/>
  <c r="N22" i="8" s="1"/>
  <c r="M23" i="8"/>
  <c r="N23" i="8" s="1"/>
  <c r="M24" i="8"/>
  <c r="N24" i="8" s="1"/>
  <c r="M25" i="8"/>
  <c r="N25" i="8" s="1"/>
  <c r="M26" i="8"/>
  <c r="N26" i="8"/>
  <c r="M27" i="8"/>
  <c r="N27" i="8" s="1"/>
  <c r="M28" i="8"/>
  <c r="N28" i="8" s="1"/>
  <c r="M29" i="8"/>
  <c r="N29" i="8" s="1"/>
  <c r="M30" i="8"/>
  <c r="N30" i="8" s="1"/>
  <c r="M31" i="8"/>
  <c r="N31" i="8" s="1"/>
  <c r="M32" i="8"/>
  <c r="N32" i="8"/>
  <c r="M33" i="8"/>
  <c r="N33" i="8" s="1"/>
  <c r="M34" i="8"/>
  <c r="N34" i="8" s="1"/>
  <c r="M35" i="8"/>
  <c r="N35" i="8" s="1"/>
  <c r="M36" i="8"/>
  <c r="N36" i="8" s="1"/>
  <c r="M37" i="8"/>
  <c r="N37" i="8" s="1"/>
  <c r="M38" i="8"/>
  <c r="N38" i="8"/>
  <c r="M39" i="8"/>
  <c r="N39" i="8"/>
  <c r="M40" i="8"/>
  <c r="N40" i="8" s="1"/>
  <c r="M41" i="8"/>
  <c r="N41" i="8" s="1"/>
  <c r="M42" i="8"/>
  <c r="N42" i="8" s="1"/>
  <c r="M43" i="8"/>
  <c r="N43" i="8" s="1"/>
  <c r="M44" i="8"/>
  <c r="N44" i="8"/>
  <c r="M45" i="8"/>
  <c r="N45" i="8" s="1"/>
  <c r="M46" i="8"/>
  <c r="N46" i="8" s="1"/>
  <c r="M47" i="8"/>
  <c r="N47" i="8" s="1"/>
  <c r="M48" i="8"/>
  <c r="N48" i="8" s="1"/>
  <c r="M49" i="8"/>
  <c r="N49" i="8" s="1"/>
  <c r="M50" i="8"/>
  <c r="N50" i="8"/>
  <c r="M51" i="8"/>
  <c r="N51" i="8"/>
  <c r="M52" i="8"/>
  <c r="N52" i="8" s="1"/>
  <c r="M53" i="8"/>
  <c r="N53" i="8" s="1"/>
  <c r="M54" i="8"/>
  <c r="N54" i="8" s="1"/>
  <c r="M55" i="8"/>
  <c r="N55" i="8" s="1"/>
  <c r="M56" i="8"/>
  <c r="N56" i="8"/>
  <c r="M57" i="8"/>
  <c r="N57" i="8" s="1"/>
  <c r="M58" i="8"/>
  <c r="N58" i="8" s="1"/>
  <c r="M59" i="8"/>
  <c r="N59" i="8" s="1"/>
  <c r="M60" i="8"/>
  <c r="N60" i="8" s="1"/>
  <c r="M61" i="8"/>
  <c r="N61" i="8" s="1"/>
  <c r="M62" i="8"/>
  <c r="N62" i="8" s="1"/>
  <c r="M63" i="8"/>
  <c r="N63" i="8" s="1"/>
  <c r="M64" i="8"/>
  <c r="N64" i="8" s="1"/>
  <c r="M65" i="8"/>
  <c r="N65" i="8" s="1"/>
  <c r="M66" i="8"/>
  <c r="N66" i="8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8" i="6"/>
  <c r="N68" i="6" s="1"/>
  <c r="M69" i="6"/>
  <c r="N69" i="6" s="1"/>
  <c r="M70" i="6"/>
  <c r="N70" i="6" s="1"/>
  <c r="B100" i="12" l="1"/>
  <c r="D100" i="12" s="1"/>
  <c r="E71" i="12"/>
  <c r="F71" i="12" s="1"/>
  <c r="B101" i="12"/>
  <c r="C101" i="12"/>
  <c r="C98" i="12"/>
  <c r="C69" i="12"/>
  <c r="E69" i="12"/>
  <c r="F69" i="12" s="1"/>
  <c r="D102" i="12"/>
  <c r="F15" i="11" s="1"/>
  <c r="K15" i="11" s="1"/>
  <c r="E70" i="12"/>
  <c r="F70" i="12" s="1"/>
  <c r="C70" i="12"/>
  <c r="C71" i="12"/>
  <c r="G17" i="11"/>
  <c r="M68" i="12"/>
  <c r="N68" i="12" s="1"/>
  <c r="M72" i="12"/>
  <c r="N72" i="12" s="1"/>
  <c r="E72" i="12"/>
  <c r="F72" i="12" s="1"/>
  <c r="C68" i="12"/>
  <c r="F90" i="12"/>
  <c r="F91" i="12" s="1"/>
  <c r="E41" i="12"/>
  <c r="F41" i="12" s="1"/>
  <c r="F43" i="12" s="1"/>
  <c r="F44" i="12" s="1"/>
  <c r="F45" i="12" s="1"/>
  <c r="M22" i="12"/>
  <c r="N22" i="12" s="1"/>
  <c r="C41" i="12"/>
  <c r="M24" i="12"/>
  <c r="N24" i="12" s="1"/>
  <c r="C23" i="12"/>
  <c r="C26" i="12"/>
  <c r="C24" i="12"/>
  <c r="E25" i="12"/>
  <c r="F25" i="12" s="1"/>
  <c r="E22" i="12"/>
  <c r="F22" i="12" s="1"/>
  <c r="E23" i="12"/>
  <c r="F23" i="12" s="1"/>
  <c r="M10" i="12"/>
  <c r="N10" i="12" s="1"/>
  <c r="C20" i="12"/>
  <c r="E20" i="12"/>
  <c r="F20" i="12" s="1"/>
  <c r="B98" i="12" s="1"/>
  <c r="F28" i="12" l="1"/>
  <c r="F75" i="12"/>
  <c r="F76" i="12" s="1"/>
  <c r="B99" i="12"/>
  <c r="C99" i="12"/>
  <c r="D98" i="12"/>
  <c r="B97" i="12"/>
  <c r="D97" i="12" s="1"/>
  <c r="D101" i="12"/>
  <c r="F14" i="11" s="1"/>
  <c r="F29" i="12"/>
  <c r="F30" i="12" s="1"/>
  <c r="D72" i="9"/>
  <c r="D71" i="9"/>
  <c r="E61" i="9"/>
  <c r="F61" i="9" s="1"/>
  <c r="E59" i="9"/>
  <c r="C59" i="9"/>
  <c r="C61" i="9"/>
  <c r="K60" i="9"/>
  <c r="C60" i="9" s="1"/>
  <c r="N27" i="9"/>
  <c r="D28" i="9"/>
  <c r="N28" i="9" s="1"/>
  <c r="M26" i="7"/>
  <c r="N26" i="7" s="1"/>
  <c r="M26" i="9"/>
  <c r="N26" i="9" s="1"/>
  <c r="I24" i="9"/>
  <c r="I22" i="9"/>
  <c r="I20" i="9"/>
  <c r="I24" i="7"/>
  <c r="I22" i="7"/>
  <c r="E20" i="7"/>
  <c r="F20" i="7" s="1"/>
  <c r="C20" i="7"/>
  <c r="D99" i="12" l="1"/>
  <c r="F10" i="11" s="1"/>
  <c r="C30" i="9"/>
  <c r="M30" i="9"/>
  <c r="N30" i="9" s="1"/>
  <c r="C24" i="9"/>
  <c r="M24" i="9"/>
  <c r="N24" i="9" s="1"/>
  <c r="E22" i="9"/>
  <c r="F22" i="9" s="1"/>
  <c r="M22" i="9"/>
  <c r="N22" i="9" s="1"/>
  <c r="E20" i="9"/>
  <c r="F20" i="9" s="1"/>
  <c r="M20" i="9"/>
  <c r="N20" i="9" s="1"/>
  <c r="E22" i="7"/>
  <c r="F22" i="7" s="1"/>
  <c r="M22" i="7"/>
  <c r="N22" i="7" s="1"/>
  <c r="C24" i="7"/>
  <c r="M24" i="7"/>
  <c r="N24" i="7" s="1"/>
  <c r="E60" i="9"/>
  <c r="F60" i="9" s="1"/>
  <c r="E30" i="9"/>
  <c r="E24" i="9"/>
  <c r="F24" i="9" s="1"/>
  <c r="C20" i="9"/>
  <c r="C22" i="9"/>
  <c r="C22" i="7"/>
  <c r="E24" i="7"/>
  <c r="F24" i="7" s="1"/>
  <c r="E8" i="9"/>
  <c r="F8" i="9" s="1"/>
  <c r="L6" i="9"/>
  <c r="E6" i="9" s="1"/>
  <c r="F6" i="9" s="1"/>
  <c r="E90" i="9"/>
  <c r="F90" i="9" s="1"/>
  <c r="C90" i="9"/>
  <c r="K89" i="9"/>
  <c r="K88" i="9"/>
  <c r="M88" i="9" s="1"/>
  <c r="N88" i="9" s="1"/>
  <c r="E82" i="9"/>
  <c r="F82" i="9" s="1"/>
  <c r="C82" i="9"/>
  <c r="C81" i="9"/>
  <c r="E80" i="9"/>
  <c r="F80" i="9" s="1"/>
  <c r="C80" i="9"/>
  <c r="E79" i="9"/>
  <c r="F79" i="9" s="1"/>
  <c r="C79" i="9"/>
  <c r="E77" i="9"/>
  <c r="C77" i="9"/>
  <c r="E76" i="9"/>
  <c r="C76" i="9"/>
  <c r="E75" i="9"/>
  <c r="C75" i="9"/>
  <c r="E74" i="9"/>
  <c r="C74" i="9"/>
  <c r="E73" i="9"/>
  <c r="C73" i="9"/>
  <c r="M72" i="9"/>
  <c r="N72" i="9" s="1"/>
  <c r="K70" i="9"/>
  <c r="M70" i="9" s="1"/>
  <c r="N70" i="9" s="1"/>
  <c r="E69" i="9"/>
  <c r="F69" i="9" s="1"/>
  <c r="C69" i="9"/>
  <c r="K68" i="9"/>
  <c r="M68" i="9" s="1"/>
  <c r="N68" i="9" s="1"/>
  <c r="K67" i="9"/>
  <c r="E66" i="9"/>
  <c r="F66" i="9" s="1"/>
  <c r="C66" i="9"/>
  <c r="K65" i="9"/>
  <c r="L64" i="9"/>
  <c r="M64" i="9" s="1"/>
  <c r="N64" i="9" s="1"/>
  <c r="C64" i="9"/>
  <c r="L63" i="9"/>
  <c r="C63" i="9"/>
  <c r="L62" i="9"/>
  <c r="M62" i="9" s="1"/>
  <c r="N62" i="9" s="1"/>
  <c r="C62" i="9"/>
  <c r="F59" i="9"/>
  <c r="C58" i="9"/>
  <c r="E57" i="9"/>
  <c r="F57" i="9" s="1"/>
  <c r="C57" i="9"/>
  <c r="E56" i="9"/>
  <c r="F56" i="9" s="1"/>
  <c r="C56" i="9"/>
  <c r="E55" i="9"/>
  <c r="F55" i="9" s="1"/>
  <c r="C55" i="9"/>
  <c r="E54" i="9"/>
  <c r="F54" i="9" s="1"/>
  <c r="C54" i="9"/>
  <c r="E53" i="9"/>
  <c r="F53" i="9" s="1"/>
  <c r="C53" i="9"/>
  <c r="E52" i="9"/>
  <c r="F52" i="9" s="1"/>
  <c r="C52" i="9"/>
  <c r="E51" i="9"/>
  <c r="F51" i="9" s="1"/>
  <c r="C51" i="9"/>
  <c r="E50" i="9"/>
  <c r="F50" i="9" s="1"/>
  <c r="C50" i="9"/>
  <c r="E49" i="9"/>
  <c r="F49" i="9" s="1"/>
  <c r="C49" i="9"/>
  <c r="E48" i="9"/>
  <c r="F48" i="9" s="1"/>
  <c r="C48" i="9"/>
  <c r="E47" i="9"/>
  <c r="F47" i="9" s="1"/>
  <c r="C47" i="9"/>
  <c r="C46" i="9"/>
  <c r="E45" i="9"/>
  <c r="F45" i="9" s="1"/>
  <c r="C45" i="9"/>
  <c r="E44" i="9"/>
  <c r="F44" i="9" s="1"/>
  <c r="C44" i="9"/>
  <c r="E43" i="9"/>
  <c r="F43" i="9" s="1"/>
  <c r="C43" i="9"/>
  <c r="M42" i="9"/>
  <c r="N42" i="9" s="1"/>
  <c r="C42" i="9"/>
  <c r="E41" i="9"/>
  <c r="F41" i="9" s="1"/>
  <c r="C41" i="9"/>
  <c r="E40" i="9"/>
  <c r="F40" i="9" s="1"/>
  <c r="C40" i="9"/>
  <c r="E39" i="9"/>
  <c r="F39" i="9" s="1"/>
  <c r="C39" i="9"/>
  <c r="C38" i="9"/>
  <c r="E37" i="9"/>
  <c r="F37" i="9" s="1"/>
  <c r="C37" i="9"/>
  <c r="E36" i="9"/>
  <c r="F36" i="9" s="1"/>
  <c r="C36" i="9"/>
  <c r="E35" i="9"/>
  <c r="F35" i="9" s="1"/>
  <c r="C35" i="9"/>
  <c r="E34" i="9"/>
  <c r="F34" i="9" s="1"/>
  <c r="C34" i="9"/>
  <c r="E33" i="9"/>
  <c r="F33" i="9" s="1"/>
  <c r="C33" i="9"/>
  <c r="E32" i="9"/>
  <c r="F32" i="9" s="1"/>
  <c r="C32" i="9"/>
  <c r="C31" i="9"/>
  <c r="F29" i="9"/>
  <c r="E28" i="9"/>
  <c r="F28" i="9" s="1"/>
  <c r="C28" i="9"/>
  <c r="E27" i="9"/>
  <c r="C27" i="9"/>
  <c r="C26" i="9"/>
  <c r="E23" i="9"/>
  <c r="F23" i="9" s="1"/>
  <c r="C23" i="9"/>
  <c r="E21" i="9"/>
  <c r="F21" i="9" s="1"/>
  <c r="C21" i="9"/>
  <c r="E19" i="9"/>
  <c r="F19" i="9" s="1"/>
  <c r="C19" i="9"/>
  <c r="E18" i="9"/>
  <c r="F18" i="9" s="1"/>
  <c r="C18" i="9"/>
  <c r="E17" i="9"/>
  <c r="F17" i="9" s="1"/>
  <c r="D106" i="9" s="1"/>
  <c r="C17" i="9"/>
  <c r="K16" i="9"/>
  <c r="E14" i="9"/>
  <c r="F14" i="9" s="1"/>
  <c r="C14" i="9"/>
  <c r="E12" i="9"/>
  <c r="F12" i="9" s="1"/>
  <c r="D110" i="9" s="1"/>
  <c r="C12" i="9"/>
  <c r="K11" i="9"/>
  <c r="C11" i="9" s="1"/>
  <c r="E11" i="9"/>
  <c r="F11" i="9" s="1"/>
  <c r="K10" i="9"/>
  <c r="C9" i="9"/>
  <c r="E9" i="9"/>
  <c r="F9" i="9" s="1"/>
  <c r="D112" i="9" s="1"/>
  <c r="E7" i="9"/>
  <c r="F7" i="9" s="1"/>
  <c r="C7" i="9"/>
  <c r="C6" i="9"/>
  <c r="K58" i="8"/>
  <c r="K57" i="8"/>
  <c r="K56" i="8"/>
  <c r="K55" i="8"/>
  <c r="K54" i="8"/>
  <c r="E54" i="8" s="1"/>
  <c r="F54" i="8" s="1"/>
  <c r="K53" i="8"/>
  <c r="E53" i="8" s="1"/>
  <c r="F53" i="8" s="1"/>
  <c r="L46" i="8"/>
  <c r="E46" i="8" s="1"/>
  <c r="F46" i="8" s="1"/>
  <c r="L36" i="8"/>
  <c r="D34" i="8"/>
  <c r="D33" i="8"/>
  <c r="K32" i="8"/>
  <c r="E32" i="8" s="1"/>
  <c r="F32" i="8" s="1"/>
  <c r="K28" i="8"/>
  <c r="K27" i="8"/>
  <c r="K23" i="8"/>
  <c r="E23" i="8" s="1"/>
  <c r="F23" i="8" s="1"/>
  <c r="K21" i="8"/>
  <c r="C21" i="8" s="1"/>
  <c r="E66" i="8"/>
  <c r="D66" i="8"/>
  <c r="C66" i="8"/>
  <c r="C65" i="8"/>
  <c r="E65" i="8"/>
  <c r="F65" i="8" s="1"/>
  <c r="E64" i="8"/>
  <c r="F64" i="8" s="1"/>
  <c r="D87" i="8" s="1"/>
  <c r="C64" i="8"/>
  <c r="E63" i="8"/>
  <c r="F63" i="8" s="1"/>
  <c r="C63" i="8"/>
  <c r="E62" i="8"/>
  <c r="F62" i="8" s="1"/>
  <c r="C62" i="8"/>
  <c r="E61" i="8"/>
  <c r="F61" i="8" s="1"/>
  <c r="C61" i="8"/>
  <c r="E60" i="8"/>
  <c r="F60" i="8" s="1"/>
  <c r="C60" i="8"/>
  <c r="E59" i="8"/>
  <c r="F59" i="8" s="1"/>
  <c r="C59" i="8"/>
  <c r="D55" i="8"/>
  <c r="E52" i="8"/>
  <c r="F52" i="8" s="1"/>
  <c r="C52" i="8"/>
  <c r="E51" i="8"/>
  <c r="F51" i="8" s="1"/>
  <c r="C51" i="8"/>
  <c r="E50" i="8"/>
  <c r="F50" i="8" s="1"/>
  <c r="C50" i="8"/>
  <c r="E49" i="8"/>
  <c r="F49" i="8" s="1"/>
  <c r="C49" i="8"/>
  <c r="E48" i="8"/>
  <c r="F48" i="8" s="1"/>
  <c r="C48" i="8"/>
  <c r="K47" i="8"/>
  <c r="C47" i="8" s="1"/>
  <c r="C46" i="8"/>
  <c r="L45" i="8"/>
  <c r="E45" i="8" s="1"/>
  <c r="F45" i="8" s="1"/>
  <c r="C45" i="8"/>
  <c r="L44" i="8"/>
  <c r="C44" i="8"/>
  <c r="L43" i="8"/>
  <c r="E43" i="8" s="1"/>
  <c r="F43" i="8" s="1"/>
  <c r="C43" i="8"/>
  <c r="L42" i="8"/>
  <c r="C42" i="8"/>
  <c r="E41" i="8"/>
  <c r="F41" i="8" s="1"/>
  <c r="C41" i="8"/>
  <c r="E40" i="8"/>
  <c r="F40" i="8" s="1"/>
  <c r="C40" i="8"/>
  <c r="E39" i="8"/>
  <c r="F39" i="8" s="1"/>
  <c r="C39" i="8"/>
  <c r="L38" i="8"/>
  <c r="C38" i="8"/>
  <c r="E37" i="8"/>
  <c r="F37" i="8" s="1"/>
  <c r="C37" i="8"/>
  <c r="C36" i="8"/>
  <c r="L35" i="8"/>
  <c r="C35" i="8"/>
  <c r="E34" i="8"/>
  <c r="C34" i="8"/>
  <c r="E33" i="8"/>
  <c r="C33" i="8"/>
  <c r="E31" i="8"/>
  <c r="F31" i="8" s="1"/>
  <c r="D83" i="8" s="1"/>
  <c r="C31" i="8"/>
  <c r="E30" i="8"/>
  <c r="F30" i="8" s="1"/>
  <c r="C30" i="8"/>
  <c r="E29" i="8"/>
  <c r="F29" i="8" s="1"/>
  <c r="C29" i="8"/>
  <c r="E26" i="8"/>
  <c r="F26" i="8" s="1"/>
  <c r="D86" i="8" s="1"/>
  <c r="C26" i="8"/>
  <c r="K25" i="8"/>
  <c r="E24" i="8"/>
  <c r="F24" i="8" s="1"/>
  <c r="D88" i="8" s="1"/>
  <c r="C24" i="8"/>
  <c r="E22" i="8"/>
  <c r="F22" i="8" s="1"/>
  <c r="C22" i="8"/>
  <c r="M21" i="8"/>
  <c r="N21" i="8" s="1"/>
  <c r="L46" i="6"/>
  <c r="L45" i="6"/>
  <c r="L44" i="6"/>
  <c r="E44" i="6" s="1"/>
  <c r="F44" i="6" s="1"/>
  <c r="L43" i="6"/>
  <c r="K28" i="6"/>
  <c r="E28" i="6" s="1"/>
  <c r="F28" i="6" s="1"/>
  <c r="L22" i="6"/>
  <c r="M22" i="6" s="1"/>
  <c r="N22" i="6" s="1"/>
  <c r="E88" i="7"/>
  <c r="F88" i="7" s="1"/>
  <c r="C88" i="7"/>
  <c r="K87" i="7"/>
  <c r="K86" i="7"/>
  <c r="M86" i="7" s="1"/>
  <c r="N86" i="7" s="1"/>
  <c r="C9" i="7"/>
  <c r="E80" i="7"/>
  <c r="F80" i="7" s="1"/>
  <c r="C79" i="7"/>
  <c r="C78" i="7"/>
  <c r="D75" i="7"/>
  <c r="N75" i="7" s="1"/>
  <c r="D73" i="7"/>
  <c r="N73" i="7" s="1"/>
  <c r="D74" i="7"/>
  <c r="N74" i="7" s="1"/>
  <c r="C75" i="7"/>
  <c r="C74" i="7"/>
  <c r="C73" i="7"/>
  <c r="D72" i="7"/>
  <c r="N72" i="7" s="1"/>
  <c r="D71" i="7"/>
  <c r="N71" i="7" s="1"/>
  <c r="K70" i="7"/>
  <c r="M70" i="7" s="1"/>
  <c r="C72" i="7"/>
  <c r="C71" i="7"/>
  <c r="D70" i="7"/>
  <c r="K69" i="7"/>
  <c r="M69" i="7" s="1"/>
  <c r="D69" i="7"/>
  <c r="K68" i="7"/>
  <c r="K66" i="7"/>
  <c r="K65" i="7"/>
  <c r="E64" i="7"/>
  <c r="F64" i="7" s="1"/>
  <c r="C64" i="7"/>
  <c r="L62" i="7"/>
  <c r="M62" i="7" s="1"/>
  <c r="N62" i="7" s="1"/>
  <c r="L61" i="7"/>
  <c r="M61" i="7" s="1"/>
  <c r="N61" i="7" s="1"/>
  <c r="C62" i="7"/>
  <c r="C61" i="7"/>
  <c r="L60" i="7"/>
  <c r="M60" i="7" s="1"/>
  <c r="N60" i="7" s="1"/>
  <c r="L59" i="7"/>
  <c r="C59" i="7"/>
  <c r="L58" i="7"/>
  <c r="M58" i="7" s="1"/>
  <c r="N58" i="7" s="1"/>
  <c r="K58" i="7"/>
  <c r="C58" i="7" s="1"/>
  <c r="M54" i="7"/>
  <c r="N54" i="7" s="1"/>
  <c r="E57" i="7"/>
  <c r="F57" i="7" s="1"/>
  <c r="C57" i="7"/>
  <c r="E56" i="7"/>
  <c r="F56" i="7" s="1"/>
  <c r="C56" i="7"/>
  <c r="M50" i="7"/>
  <c r="N50" i="7" s="1"/>
  <c r="E53" i="7"/>
  <c r="F53" i="7" s="1"/>
  <c r="C53" i="7"/>
  <c r="E52" i="7"/>
  <c r="F52" i="7" s="1"/>
  <c r="C52" i="7"/>
  <c r="M46" i="7"/>
  <c r="N46" i="7" s="1"/>
  <c r="E49" i="7"/>
  <c r="F49" i="7" s="1"/>
  <c r="C49" i="7"/>
  <c r="M42" i="7"/>
  <c r="N42" i="7" s="1"/>
  <c r="E45" i="7"/>
  <c r="F45" i="7" s="1"/>
  <c r="C45" i="7"/>
  <c r="E44" i="7"/>
  <c r="F44" i="7" s="1"/>
  <c r="C44" i="7"/>
  <c r="E43" i="7"/>
  <c r="F43" i="7" s="1"/>
  <c r="C43" i="7"/>
  <c r="M38" i="7"/>
  <c r="N38" i="7" s="1"/>
  <c r="C41" i="7"/>
  <c r="E40" i="7"/>
  <c r="F40" i="7" s="1"/>
  <c r="C40" i="7"/>
  <c r="E39" i="7"/>
  <c r="F39" i="7" s="1"/>
  <c r="C39" i="7"/>
  <c r="M34" i="7"/>
  <c r="N34" i="7" s="1"/>
  <c r="C37" i="7"/>
  <c r="C36" i="7"/>
  <c r="E37" i="7"/>
  <c r="F37" i="7" s="1"/>
  <c r="E36" i="7"/>
  <c r="F36" i="7" s="1"/>
  <c r="M31" i="7"/>
  <c r="N31" i="7" s="1"/>
  <c r="E33" i="7"/>
  <c r="F33" i="7" s="1"/>
  <c r="C33" i="7"/>
  <c r="C32" i="7"/>
  <c r="K16" i="7"/>
  <c r="D30" i="7"/>
  <c r="N30" i="7" s="1"/>
  <c r="D29" i="7"/>
  <c r="C30" i="7"/>
  <c r="E30" i="7"/>
  <c r="K29" i="7"/>
  <c r="L25" i="7"/>
  <c r="I25" i="7"/>
  <c r="K25" i="7"/>
  <c r="D27" i="7"/>
  <c r="N27" i="7" s="1"/>
  <c r="E26" i="7"/>
  <c r="F26" i="7" s="1"/>
  <c r="E23" i="7"/>
  <c r="F23" i="7" s="1"/>
  <c r="E21" i="7"/>
  <c r="F21" i="7" s="1"/>
  <c r="C21" i="7"/>
  <c r="C23" i="7"/>
  <c r="K15" i="7"/>
  <c r="M15" i="7" s="1"/>
  <c r="N15" i="7" s="1"/>
  <c r="E14" i="7"/>
  <c r="F14" i="7" s="1"/>
  <c r="C14" i="7"/>
  <c r="K13" i="7"/>
  <c r="M13" i="7" s="1"/>
  <c r="N13" i="7" s="1"/>
  <c r="K11" i="7"/>
  <c r="E11" i="7" s="1"/>
  <c r="F11" i="7" s="1"/>
  <c r="E77" i="7"/>
  <c r="F77" i="7" s="1"/>
  <c r="C77" i="7"/>
  <c r="E75" i="7"/>
  <c r="E73" i="7"/>
  <c r="E71" i="7"/>
  <c r="E67" i="7"/>
  <c r="F67" i="7" s="1"/>
  <c r="C67" i="7"/>
  <c r="K63" i="7"/>
  <c r="C60" i="7"/>
  <c r="E55" i="7"/>
  <c r="F55" i="7" s="1"/>
  <c r="C55" i="7"/>
  <c r="C54" i="7"/>
  <c r="E51" i="7"/>
  <c r="F51" i="7" s="1"/>
  <c r="C51" i="7"/>
  <c r="C50" i="7"/>
  <c r="E48" i="7"/>
  <c r="F48" i="7" s="1"/>
  <c r="C48" i="7"/>
  <c r="E47" i="7"/>
  <c r="F47" i="7" s="1"/>
  <c r="C47" i="7"/>
  <c r="C46" i="7"/>
  <c r="C42" i="7"/>
  <c r="C38" i="7"/>
  <c r="E35" i="7"/>
  <c r="F35" i="7" s="1"/>
  <c r="C35" i="7"/>
  <c r="C34" i="7"/>
  <c r="C31" i="7"/>
  <c r="E28" i="7"/>
  <c r="F28" i="7" s="1"/>
  <c r="C28" i="7"/>
  <c r="E27" i="7"/>
  <c r="C27" i="7"/>
  <c r="E19" i="7"/>
  <c r="F19" i="7" s="1"/>
  <c r="C19" i="7"/>
  <c r="E18" i="7"/>
  <c r="F18" i="7" s="1"/>
  <c r="C18" i="7"/>
  <c r="E17" i="7"/>
  <c r="F17" i="7" s="1"/>
  <c r="D104" i="7" s="1"/>
  <c r="C17" i="7"/>
  <c r="E12" i="7"/>
  <c r="F12" i="7" s="1"/>
  <c r="D108" i="7" s="1"/>
  <c r="C12" i="7"/>
  <c r="K10" i="7"/>
  <c r="E9" i="7"/>
  <c r="F9" i="7" s="1"/>
  <c r="D110" i="7" s="1"/>
  <c r="E7" i="7"/>
  <c r="F7" i="7" s="1"/>
  <c r="C7" i="7"/>
  <c r="M6" i="7"/>
  <c r="N6" i="7" s="1"/>
  <c r="E6" i="7"/>
  <c r="F6" i="7" s="1"/>
  <c r="C6" i="7"/>
  <c r="I71" i="1"/>
  <c r="M71" i="1" s="1"/>
  <c r="N71" i="1" s="1"/>
  <c r="C67" i="1"/>
  <c r="F10" i="6"/>
  <c r="F7" i="6"/>
  <c r="F4" i="6"/>
  <c r="I69" i="6"/>
  <c r="C69" i="6" s="1"/>
  <c r="K60" i="6"/>
  <c r="C60" i="6" s="1"/>
  <c r="K59" i="6"/>
  <c r="K58" i="6"/>
  <c r="C58" i="6" s="1"/>
  <c r="K57" i="6"/>
  <c r="C57" i="6" s="1"/>
  <c r="E49" i="6"/>
  <c r="F49" i="6" s="1"/>
  <c r="C49" i="6"/>
  <c r="C46" i="6"/>
  <c r="C44" i="6"/>
  <c r="K33" i="6"/>
  <c r="E33" i="6" s="1"/>
  <c r="F33" i="6" s="1"/>
  <c r="E32" i="6"/>
  <c r="F32" i="6" s="1"/>
  <c r="D87" i="6" s="1"/>
  <c r="C32" i="6"/>
  <c r="K29" i="6"/>
  <c r="C29" i="6" s="1"/>
  <c r="K24" i="6"/>
  <c r="D70" i="6"/>
  <c r="K62" i="6"/>
  <c r="C62" i="6" s="1"/>
  <c r="K61" i="6"/>
  <c r="C61" i="6" s="1"/>
  <c r="D59" i="6"/>
  <c r="L50" i="6"/>
  <c r="E50" i="6" s="1"/>
  <c r="F50" i="6" s="1"/>
  <c r="C50" i="6"/>
  <c r="L39" i="6"/>
  <c r="E48" i="6"/>
  <c r="F48" i="6" s="1"/>
  <c r="C48" i="6"/>
  <c r="C38" i="6"/>
  <c r="E38" i="6"/>
  <c r="F38" i="6" s="1"/>
  <c r="C39" i="6"/>
  <c r="C40" i="6"/>
  <c r="C41" i="6"/>
  <c r="E41" i="6"/>
  <c r="F41" i="6" s="1"/>
  <c r="C42" i="6"/>
  <c r="E42" i="6"/>
  <c r="F42" i="6" s="1"/>
  <c r="C43" i="6"/>
  <c r="C45" i="6"/>
  <c r="C47" i="6"/>
  <c r="E47" i="6"/>
  <c r="F47" i="6" s="1"/>
  <c r="K33" i="1"/>
  <c r="M33" i="1" s="1"/>
  <c r="N33" i="1" s="1"/>
  <c r="K26" i="6"/>
  <c r="E70" i="6"/>
  <c r="C70" i="6"/>
  <c r="E69" i="6"/>
  <c r="F69" i="6" s="1"/>
  <c r="E68" i="6"/>
  <c r="F68" i="6" s="1"/>
  <c r="D91" i="6" s="1"/>
  <c r="C68" i="6"/>
  <c r="E67" i="6"/>
  <c r="F67" i="6" s="1"/>
  <c r="C67" i="6"/>
  <c r="E66" i="6"/>
  <c r="F66" i="6" s="1"/>
  <c r="C66" i="6"/>
  <c r="E65" i="6"/>
  <c r="F65" i="6" s="1"/>
  <c r="C65" i="6"/>
  <c r="E64" i="6"/>
  <c r="F64" i="6" s="1"/>
  <c r="C64" i="6"/>
  <c r="E63" i="6"/>
  <c r="F63" i="6" s="1"/>
  <c r="C63" i="6"/>
  <c r="E56" i="6"/>
  <c r="F56" i="6" s="1"/>
  <c r="C56" i="6"/>
  <c r="E55" i="6"/>
  <c r="F55" i="6" s="1"/>
  <c r="C55" i="6"/>
  <c r="E54" i="6"/>
  <c r="F54" i="6" s="1"/>
  <c r="C54" i="6"/>
  <c r="E53" i="6"/>
  <c r="F53" i="6" s="1"/>
  <c r="C53" i="6"/>
  <c r="E52" i="6"/>
  <c r="F52" i="6" s="1"/>
  <c r="C52" i="6"/>
  <c r="K51" i="6"/>
  <c r="E37" i="6"/>
  <c r="F37" i="6" s="1"/>
  <c r="C37" i="6"/>
  <c r="L36" i="6"/>
  <c r="C36" i="6"/>
  <c r="E35" i="6"/>
  <c r="F35" i="6" s="1"/>
  <c r="C35" i="6"/>
  <c r="E34" i="6"/>
  <c r="F34" i="6" s="1"/>
  <c r="C34" i="6"/>
  <c r="E31" i="6"/>
  <c r="F31" i="6" s="1"/>
  <c r="C31" i="6"/>
  <c r="E30" i="6"/>
  <c r="F30" i="6" s="1"/>
  <c r="C30" i="6"/>
  <c r="E27" i="6"/>
  <c r="F27" i="6" s="1"/>
  <c r="D90" i="6" s="1"/>
  <c r="C27" i="6"/>
  <c r="E25" i="6"/>
  <c r="F25" i="6" s="1"/>
  <c r="D92" i="6" s="1"/>
  <c r="C25" i="6"/>
  <c r="E23" i="6"/>
  <c r="F23" i="6" s="1"/>
  <c r="C23" i="6"/>
  <c r="C22" i="6"/>
  <c r="K47" i="1"/>
  <c r="E47" i="1" s="1"/>
  <c r="F47" i="1" s="1"/>
  <c r="D35" i="2"/>
  <c r="O34" i="2"/>
  <c r="P34" i="2" s="1"/>
  <c r="E34" i="2"/>
  <c r="F34" i="2" s="1"/>
  <c r="C34" i="2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4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4" i="1"/>
  <c r="O4" i="1" s="1"/>
  <c r="G27" i="2"/>
  <c r="G26" i="2"/>
  <c r="G25" i="2"/>
  <c r="O21" i="2"/>
  <c r="P21" i="2" s="1"/>
  <c r="O20" i="2"/>
  <c r="P20" i="2" s="1"/>
  <c r="O19" i="2"/>
  <c r="P19" i="2" s="1"/>
  <c r="E21" i="2"/>
  <c r="F21" i="2" s="1"/>
  <c r="D43" i="2" s="1"/>
  <c r="C21" i="2"/>
  <c r="E20" i="2"/>
  <c r="F20" i="2" s="1"/>
  <c r="D46" i="2" s="1"/>
  <c r="C20" i="2"/>
  <c r="E19" i="2"/>
  <c r="F19" i="2" s="1"/>
  <c r="C19" i="2"/>
  <c r="S23" i="5"/>
  <c r="S25" i="5" s="1"/>
  <c r="C23" i="5"/>
  <c r="C25" i="5" s="1"/>
  <c r="T23" i="5"/>
  <c r="T25" i="5" s="1"/>
  <c r="D23" i="5"/>
  <c r="D25" i="5" s="1"/>
  <c r="E23" i="5"/>
  <c r="E25" i="5" s="1"/>
  <c r="F23" i="5"/>
  <c r="F25" i="5" s="1"/>
  <c r="G23" i="5"/>
  <c r="G25" i="5" s="1"/>
  <c r="H23" i="5"/>
  <c r="H25" i="5" s="1"/>
  <c r="I23" i="5"/>
  <c r="I25" i="5" s="1"/>
  <c r="J23" i="5"/>
  <c r="J25" i="5" s="1"/>
  <c r="K23" i="5"/>
  <c r="K25" i="5" s="1"/>
  <c r="L23" i="5"/>
  <c r="L25" i="5" s="1"/>
  <c r="M23" i="5"/>
  <c r="M25" i="5" s="1"/>
  <c r="N23" i="5"/>
  <c r="N25" i="5" s="1"/>
  <c r="O23" i="5"/>
  <c r="O25" i="5" s="1"/>
  <c r="P23" i="5"/>
  <c r="P25" i="5" s="1"/>
  <c r="Q23" i="5"/>
  <c r="Q25" i="5" s="1"/>
  <c r="R23" i="5"/>
  <c r="R25" i="5" s="1"/>
  <c r="B23" i="5"/>
  <c r="B25" i="5" s="1"/>
  <c r="C32" i="1"/>
  <c r="C45" i="1"/>
  <c r="C44" i="1"/>
  <c r="E44" i="1"/>
  <c r="F44" i="1" s="1"/>
  <c r="D31" i="1"/>
  <c r="M67" i="1"/>
  <c r="N67" i="1" s="1"/>
  <c r="E67" i="1"/>
  <c r="F67" i="1" s="1"/>
  <c r="M66" i="1"/>
  <c r="N66" i="1" s="1"/>
  <c r="E66" i="1"/>
  <c r="F66" i="1" s="1"/>
  <c r="C66" i="1"/>
  <c r="M58" i="1"/>
  <c r="N58" i="1" s="1"/>
  <c r="E58" i="1"/>
  <c r="F58" i="1" s="1"/>
  <c r="C58" i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C59" i="1"/>
  <c r="C60" i="1"/>
  <c r="C61" i="1"/>
  <c r="C62" i="1"/>
  <c r="C63" i="1"/>
  <c r="C64" i="1"/>
  <c r="C65" i="1"/>
  <c r="M57" i="1"/>
  <c r="N57" i="1" s="1"/>
  <c r="E57" i="1"/>
  <c r="F57" i="1" s="1"/>
  <c r="C57" i="1"/>
  <c r="M56" i="1"/>
  <c r="N56" i="1" s="1"/>
  <c r="C56" i="1"/>
  <c r="M52" i="1"/>
  <c r="N52" i="1" s="1"/>
  <c r="C52" i="1"/>
  <c r="E53" i="1"/>
  <c r="F53" i="1" s="1"/>
  <c r="C53" i="1"/>
  <c r="L42" i="1"/>
  <c r="E42" i="1" s="1"/>
  <c r="F42" i="1" s="1"/>
  <c r="M72" i="1"/>
  <c r="N72" i="1" s="1"/>
  <c r="E72" i="1"/>
  <c r="F72" i="1" s="1"/>
  <c r="C72" i="1"/>
  <c r="E71" i="1"/>
  <c r="F71" i="1" s="1"/>
  <c r="M70" i="1"/>
  <c r="N70" i="1" s="1"/>
  <c r="E70" i="1"/>
  <c r="F70" i="1" s="1"/>
  <c r="D92" i="1" s="1"/>
  <c r="E92" i="1" s="1"/>
  <c r="C70" i="1"/>
  <c r="M69" i="1"/>
  <c r="N69" i="1" s="1"/>
  <c r="E69" i="1"/>
  <c r="F69" i="1" s="1"/>
  <c r="C69" i="1"/>
  <c r="M68" i="1"/>
  <c r="N68" i="1" s="1"/>
  <c r="E68" i="1"/>
  <c r="F68" i="1" s="1"/>
  <c r="C68" i="1"/>
  <c r="M65" i="1"/>
  <c r="N65" i="1" s="1"/>
  <c r="M64" i="1"/>
  <c r="N64" i="1" s="1"/>
  <c r="M61" i="1"/>
  <c r="N61" i="1" s="1"/>
  <c r="M60" i="1"/>
  <c r="N60" i="1" s="1"/>
  <c r="M45" i="1"/>
  <c r="N45" i="1" s="1"/>
  <c r="E45" i="1"/>
  <c r="F45" i="1" s="1"/>
  <c r="M41" i="1"/>
  <c r="N41" i="1" s="1"/>
  <c r="E41" i="1"/>
  <c r="F41" i="1" s="1"/>
  <c r="C41" i="1"/>
  <c r="M59" i="1"/>
  <c r="N59" i="1" s="1"/>
  <c r="E55" i="1"/>
  <c r="F55" i="1" s="1"/>
  <c r="M54" i="1"/>
  <c r="N54" i="1" s="1"/>
  <c r="M55" i="1"/>
  <c r="N55" i="1" s="1"/>
  <c r="C55" i="1"/>
  <c r="M35" i="1"/>
  <c r="N35" i="1" s="1"/>
  <c r="E35" i="1"/>
  <c r="F35" i="1" s="1"/>
  <c r="C35" i="1"/>
  <c r="M49" i="1"/>
  <c r="N49" i="1" s="1"/>
  <c r="M50" i="1"/>
  <c r="N50" i="1" s="1"/>
  <c r="M51" i="1"/>
  <c r="N51" i="1" s="1"/>
  <c r="E48" i="1"/>
  <c r="F48" i="1" s="1"/>
  <c r="M46" i="1"/>
  <c r="N46" i="1" s="1"/>
  <c r="E46" i="1"/>
  <c r="F46" i="1" s="1"/>
  <c r="C46" i="1"/>
  <c r="M36" i="1"/>
  <c r="N36" i="1" s="1"/>
  <c r="E36" i="1"/>
  <c r="F36" i="1" s="1"/>
  <c r="C36" i="1"/>
  <c r="M31" i="1"/>
  <c r="E31" i="1"/>
  <c r="C31" i="1"/>
  <c r="E32" i="1"/>
  <c r="F32" i="1" s="1"/>
  <c r="D93" i="1" s="1"/>
  <c r="E93" i="1" s="1"/>
  <c r="M32" i="1"/>
  <c r="N32" i="1" s="1"/>
  <c r="M30" i="1"/>
  <c r="N30" i="1" s="1"/>
  <c r="E30" i="1"/>
  <c r="F30" i="1" s="1"/>
  <c r="C30" i="1"/>
  <c r="M34" i="1"/>
  <c r="N34" i="1" s="1"/>
  <c r="E34" i="1"/>
  <c r="F34" i="1" s="1"/>
  <c r="C34" i="1"/>
  <c r="O6" i="2"/>
  <c r="P6" i="2" s="1"/>
  <c r="E6" i="2"/>
  <c r="F6" i="2" s="1"/>
  <c r="D45" i="2" s="1"/>
  <c r="C6" i="2"/>
  <c r="O5" i="2"/>
  <c r="P5" i="2" s="1"/>
  <c r="E5" i="2"/>
  <c r="F5" i="2" s="1"/>
  <c r="D44" i="2" s="1"/>
  <c r="C5" i="2"/>
  <c r="O4" i="2"/>
  <c r="P4" i="2" s="1"/>
  <c r="E4" i="2"/>
  <c r="F4" i="2" s="1"/>
  <c r="C4" i="2"/>
  <c r="C50" i="1"/>
  <c r="M37" i="1"/>
  <c r="N37" i="1" s="1"/>
  <c r="M38" i="1"/>
  <c r="N38" i="1" s="1"/>
  <c r="M39" i="1"/>
  <c r="N39" i="1" s="1"/>
  <c r="M40" i="1"/>
  <c r="N40" i="1" s="1"/>
  <c r="M43" i="1"/>
  <c r="N43" i="1" s="1"/>
  <c r="M44" i="1"/>
  <c r="N44" i="1" s="1"/>
  <c r="M29" i="1"/>
  <c r="N29" i="1" s="1"/>
  <c r="C54" i="1"/>
  <c r="C51" i="1"/>
  <c r="C49" i="1"/>
  <c r="C48" i="1"/>
  <c r="E43" i="1"/>
  <c r="F43" i="1" s="1"/>
  <c r="C43" i="1"/>
  <c r="C42" i="1"/>
  <c r="E40" i="1"/>
  <c r="C40" i="1"/>
  <c r="E39" i="1"/>
  <c r="C39" i="1"/>
  <c r="E38" i="1"/>
  <c r="F38" i="1" s="1"/>
  <c r="C38" i="1"/>
  <c r="E37" i="1"/>
  <c r="F37" i="1" s="1"/>
  <c r="C37" i="1"/>
  <c r="E29" i="1"/>
  <c r="F29" i="1" s="1"/>
  <c r="C29" i="1"/>
  <c r="K10" i="11" l="1"/>
  <c r="F7" i="11"/>
  <c r="K7" i="11" s="1"/>
  <c r="K14" i="11"/>
  <c r="D109" i="7"/>
  <c r="E16" i="9"/>
  <c r="F16" i="9" s="1"/>
  <c r="M16" i="9"/>
  <c r="N16" i="9" s="1"/>
  <c r="E67" i="9"/>
  <c r="F67" i="9" s="1"/>
  <c r="M67" i="9"/>
  <c r="N67" i="9" s="1"/>
  <c r="E89" i="9"/>
  <c r="F89" i="9" s="1"/>
  <c r="M89" i="9"/>
  <c r="N89" i="9" s="1"/>
  <c r="E65" i="9"/>
  <c r="F65" i="9" s="1"/>
  <c r="M65" i="9"/>
  <c r="N65" i="9" s="1"/>
  <c r="E10" i="9"/>
  <c r="F10" i="9" s="1"/>
  <c r="M10" i="9"/>
  <c r="N10" i="9" s="1"/>
  <c r="E71" i="9"/>
  <c r="F71" i="9" s="1"/>
  <c r="M71" i="9"/>
  <c r="N71" i="9" s="1"/>
  <c r="E63" i="9"/>
  <c r="F63" i="9" s="1"/>
  <c r="M63" i="9"/>
  <c r="N63" i="9" s="1"/>
  <c r="F16" i="11"/>
  <c r="K16" i="11" s="1"/>
  <c r="F11" i="11"/>
  <c r="K11" i="11" s="1"/>
  <c r="E8" i="7"/>
  <c r="F8" i="7" s="1"/>
  <c r="M8" i="7"/>
  <c r="N8" i="7" s="1"/>
  <c r="E16" i="7"/>
  <c r="F16" i="7" s="1"/>
  <c r="M16" i="7"/>
  <c r="N16" i="7" s="1"/>
  <c r="C11" i="7"/>
  <c r="M11" i="7"/>
  <c r="N11" i="7" s="1"/>
  <c r="E65" i="7"/>
  <c r="F65" i="7" s="1"/>
  <c r="M65" i="7"/>
  <c r="N65" i="7" s="1"/>
  <c r="E87" i="7"/>
  <c r="F87" i="7" s="1"/>
  <c r="M87" i="7"/>
  <c r="N87" i="7" s="1"/>
  <c r="C66" i="7"/>
  <c r="M66" i="7"/>
  <c r="N66" i="7" s="1"/>
  <c r="E10" i="7"/>
  <c r="F10" i="7" s="1"/>
  <c r="M10" i="7"/>
  <c r="N10" i="7" s="1"/>
  <c r="E78" i="7"/>
  <c r="F78" i="7" s="1"/>
  <c r="M78" i="7"/>
  <c r="N78" i="7" s="1"/>
  <c r="E79" i="7"/>
  <c r="F79" i="7" s="1"/>
  <c r="M79" i="7"/>
  <c r="N79" i="7" s="1"/>
  <c r="C63" i="7"/>
  <c r="M63" i="7"/>
  <c r="N63" i="7" s="1"/>
  <c r="C68" i="7"/>
  <c r="M68" i="7"/>
  <c r="N68" i="7" s="1"/>
  <c r="N69" i="7"/>
  <c r="E32" i="7"/>
  <c r="F32" i="7" s="1"/>
  <c r="M32" i="7"/>
  <c r="N32" i="7" s="1"/>
  <c r="E41" i="7"/>
  <c r="F41" i="7" s="1"/>
  <c r="M41" i="7"/>
  <c r="N41" i="7" s="1"/>
  <c r="E59" i="7"/>
  <c r="F59" i="7" s="1"/>
  <c r="M59" i="7"/>
  <c r="N59" i="7" s="1"/>
  <c r="E25" i="7"/>
  <c r="F25" i="7" s="1"/>
  <c r="M25" i="7"/>
  <c r="N25" i="7" s="1"/>
  <c r="N70" i="7"/>
  <c r="E29" i="7"/>
  <c r="F29" i="7" s="1"/>
  <c r="M29" i="7"/>
  <c r="N29" i="7" s="1"/>
  <c r="D47" i="2"/>
  <c r="M6" i="9"/>
  <c r="N6" i="9" s="1"/>
  <c r="C86" i="7"/>
  <c r="E86" i="7"/>
  <c r="F86" i="7" s="1"/>
  <c r="D90" i="1"/>
  <c r="E90" i="1" s="1"/>
  <c r="D32" i="5"/>
  <c r="M47" i="1"/>
  <c r="N47" i="1" s="1"/>
  <c r="C47" i="1"/>
  <c r="F31" i="1"/>
  <c r="C71" i="1"/>
  <c r="E54" i="7"/>
  <c r="F54" i="7" s="1"/>
  <c r="E36" i="8"/>
  <c r="F36" i="8" s="1"/>
  <c r="E46" i="9"/>
  <c r="F46" i="9" s="1"/>
  <c r="D111" i="9" s="1"/>
  <c r="E62" i="6"/>
  <c r="F62" i="6" s="1"/>
  <c r="F34" i="8"/>
  <c r="E38" i="9"/>
  <c r="F38" i="9" s="1"/>
  <c r="Q4" i="1"/>
  <c r="Q6" i="1"/>
  <c r="C13" i="9"/>
  <c r="E25" i="9"/>
  <c r="F25" i="9" s="1"/>
  <c r="C68" i="9"/>
  <c r="E68" i="9"/>
  <c r="F68" i="9" s="1"/>
  <c r="E26" i="9"/>
  <c r="F26" i="9" s="1"/>
  <c r="C88" i="9"/>
  <c r="C25" i="9"/>
  <c r="E62" i="9"/>
  <c r="F62" i="9" s="1"/>
  <c r="E22" i="6"/>
  <c r="F22" i="6" s="1"/>
  <c r="C15" i="9"/>
  <c r="E15" i="9"/>
  <c r="F15" i="9" s="1"/>
  <c r="G4" i="2"/>
  <c r="Q7" i="1"/>
  <c r="E64" i="9"/>
  <c r="F64" i="9" s="1"/>
  <c r="D108" i="9" s="1"/>
  <c r="C55" i="8"/>
  <c r="C72" i="9"/>
  <c r="F30" i="9"/>
  <c r="E42" i="9"/>
  <c r="F42" i="9" s="1"/>
  <c r="E70" i="9"/>
  <c r="F70" i="9" s="1"/>
  <c r="F77" i="9"/>
  <c r="Q8" i="1"/>
  <c r="E88" i="9"/>
  <c r="F88" i="9" s="1"/>
  <c r="Q17" i="1"/>
  <c r="Q5" i="1"/>
  <c r="E72" i="9"/>
  <c r="F72" i="9" s="1"/>
  <c r="F75" i="9"/>
  <c r="E13" i="9"/>
  <c r="F13" i="9" s="1"/>
  <c r="E69" i="7"/>
  <c r="F69" i="7" s="1"/>
  <c r="F27" i="9"/>
  <c r="E31" i="9"/>
  <c r="F31" i="9" s="1"/>
  <c r="E58" i="9"/>
  <c r="F58" i="9" s="1"/>
  <c r="C70" i="9"/>
  <c r="F73" i="9"/>
  <c r="E81" i="9"/>
  <c r="F81" i="9" s="1"/>
  <c r="D109" i="9" s="1"/>
  <c r="Q16" i="1"/>
  <c r="Q15" i="1"/>
  <c r="Q14" i="1"/>
  <c r="C87" i="7"/>
  <c r="E58" i="7"/>
  <c r="F58" i="7" s="1"/>
  <c r="Q13" i="1"/>
  <c r="Q12" i="1"/>
  <c r="Q11" i="1"/>
  <c r="E43" i="6"/>
  <c r="F43" i="6" s="1"/>
  <c r="E46" i="6"/>
  <c r="F46" i="6" s="1"/>
  <c r="C28" i="8"/>
  <c r="F33" i="8"/>
  <c r="F74" i="9"/>
  <c r="F76" i="9"/>
  <c r="E46" i="7"/>
  <c r="F46" i="7" s="1"/>
  <c r="G19" i="2"/>
  <c r="Q10" i="1"/>
  <c r="E58" i="6"/>
  <c r="F58" i="6" s="1"/>
  <c r="C16" i="9"/>
  <c r="C71" i="9"/>
  <c r="C89" i="9"/>
  <c r="E60" i="7"/>
  <c r="F60" i="7" s="1"/>
  <c r="Q9" i="1"/>
  <c r="C67" i="9"/>
  <c r="D88" i="1"/>
  <c r="E88" i="1" s="1"/>
  <c r="C8" i="9"/>
  <c r="C10" i="9"/>
  <c r="C65" i="9"/>
  <c r="D84" i="8"/>
  <c r="C57" i="8"/>
  <c r="E35" i="8"/>
  <c r="F35" i="8" s="1"/>
  <c r="E57" i="8"/>
  <c r="F57" i="8" s="1"/>
  <c r="C27" i="8"/>
  <c r="C53" i="8"/>
  <c r="E27" i="8"/>
  <c r="F27" i="8" s="1"/>
  <c r="E42" i="8"/>
  <c r="F42" i="8" s="1"/>
  <c r="E47" i="8"/>
  <c r="F47" i="8" s="1"/>
  <c r="E55" i="8"/>
  <c r="F55" i="8" s="1"/>
  <c r="D93" i="8"/>
  <c r="E28" i="8"/>
  <c r="F28" i="8" s="1"/>
  <c r="E44" i="8"/>
  <c r="F44" i="8" s="1"/>
  <c r="E21" i="8"/>
  <c r="F21" i="8" s="1"/>
  <c r="E38" i="8"/>
  <c r="F38" i="8" s="1"/>
  <c r="C54" i="8"/>
  <c r="D81" i="8"/>
  <c r="F66" i="8"/>
  <c r="C25" i="8"/>
  <c r="C32" i="8"/>
  <c r="C56" i="8"/>
  <c r="C58" i="8"/>
  <c r="C23" i="8"/>
  <c r="E25" i="8"/>
  <c r="F25" i="8" s="1"/>
  <c r="E56" i="8"/>
  <c r="F56" i="8" s="1"/>
  <c r="E58" i="8"/>
  <c r="F58" i="8" s="1"/>
  <c r="E59" i="6"/>
  <c r="F59" i="6" s="1"/>
  <c r="C69" i="7"/>
  <c r="E61" i="7"/>
  <c r="F61" i="7" s="1"/>
  <c r="E62" i="7"/>
  <c r="F62" i="7" s="1"/>
  <c r="F73" i="7"/>
  <c r="F75" i="7"/>
  <c r="E66" i="7"/>
  <c r="F66" i="7" s="1"/>
  <c r="E68" i="7"/>
  <c r="F68" i="7" s="1"/>
  <c r="C65" i="7"/>
  <c r="F71" i="7"/>
  <c r="E50" i="7"/>
  <c r="F50" i="7" s="1"/>
  <c r="E34" i="7"/>
  <c r="F34" i="7" s="1"/>
  <c r="C25" i="7"/>
  <c r="C16" i="7"/>
  <c r="F27" i="7"/>
  <c r="F30" i="7"/>
  <c r="C29" i="7"/>
  <c r="E13" i="7"/>
  <c r="F13" i="7" s="1"/>
  <c r="E38" i="7"/>
  <c r="F38" i="7" s="1"/>
  <c r="E72" i="7"/>
  <c r="F72" i="7" s="1"/>
  <c r="C70" i="7"/>
  <c r="C15" i="7"/>
  <c r="E63" i="7"/>
  <c r="F63" i="7" s="1"/>
  <c r="E15" i="7"/>
  <c r="F15" i="7" s="1"/>
  <c r="E74" i="7"/>
  <c r="F74" i="7" s="1"/>
  <c r="E70" i="7"/>
  <c r="F70" i="7" s="1"/>
  <c r="E31" i="7"/>
  <c r="F31" i="7" s="1"/>
  <c r="E42" i="7"/>
  <c r="F42" i="7" s="1"/>
  <c r="D107" i="7" s="1"/>
  <c r="C13" i="7"/>
  <c r="C10" i="7"/>
  <c r="C26" i="7"/>
  <c r="C8" i="7"/>
  <c r="C33" i="1"/>
  <c r="E33" i="1"/>
  <c r="F33" i="1" s="1"/>
  <c r="C59" i="6"/>
  <c r="F70" i="6"/>
  <c r="E24" i="6"/>
  <c r="F24" i="6" s="1"/>
  <c r="E60" i="6"/>
  <c r="F60" i="6" s="1"/>
  <c r="E61" i="6"/>
  <c r="F61" i="6" s="1"/>
  <c r="E45" i="6"/>
  <c r="F45" i="6" s="1"/>
  <c r="E40" i="6"/>
  <c r="F40" i="6" s="1"/>
  <c r="E39" i="6"/>
  <c r="F39" i="6" s="1"/>
  <c r="E57" i="6"/>
  <c r="F57" i="6" s="1"/>
  <c r="E29" i="6"/>
  <c r="F29" i="6" s="1"/>
  <c r="E36" i="6"/>
  <c r="F36" i="6" s="1"/>
  <c r="C28" i="6"/>
  <c r="C24" i="6"/>
  <c r="E51" i="6"/>
  <c r="F51" i="6" s="1"/>
  <c r="C33" i="6"/>
  <c r="D85" i="6"/>
  <c r="C26" i="6"/>
  <c r="E26" i="6"/>
  <c r="F26" i="6" s="1"/>
  <c r="D88" i="6"/>
  <c r="D97" i="6"/>
  <c r="D89" i="6"/>
  <c r="C51" i="6"/>
  <c r="D91" i="1"/>
  <c r="E91" i="1" s="1"/>
  <c r="F22" i="2"/>
  <c r="G22" i="2" s="1"/>
  <c r="F7" i="2"/>
  <c r="D31" i="5"/>
  <c r="N31" i="1"/>
  <c r="E56" i="1"/>
  <c r="F56" i="1" s="1"/>
  <c r="E52" i="1"/>
  <c r="F52" i="1" s="1"/>
  <c r="M53" i="1"/>
  <c r="N53" i="1" s="1"/>
  <c r="M63" i="1"/>
  <c r="N63" i="1" s="1"/>
  <c r="M62" i="1"/>
  <c r="N62" i="1" s="1"/>
  <c r="E49" i="1"/>
  <c r="F49" i="1" s="1"/>
  <c r="E51" i="1"/>
  <c r="F51" i="1" s="1"/>
  <c r="E50" i="1"/>
  <c r="F50" i="1" s="1"/>
  <c r="E54" i="1"/>
  <c r="F54" i="1" s="1"/>
  <c r="M48" i="1"/>
  <c r="N48" i="1" s="1"/>
  <c r="M42" i="1"/>
  <c r="N42" i="1" s="1"/>
  <c r="F40" i="1"/>
  <c r="F39" i="1"/>
  <c r="D107" i="9" l="1"/>
  <c r="D104" i="9"/>
  <c r="D105" i="7"/>
  <c r="D106" i="7"/>
  <c r="F8" i="11" s="1"/>
  <c r="K8" i="11" s="1"/>
  <c r="F12" i="11"/>
  <c r="K12" i="11" s="1"/>
  <c r="D105" i="9"/>
  <c r="F92" i="9"/>
  <c r="F5" i="11"/>
  <c r="K5" i="11" s="1"/>
  <c r="D102" i="7"/>
  <c r="D103" i="7"/>
  <c r="F90" i="7"/>
  <c r="F91" i="7" s="1"/>
  <c r="F92" i="7" s="1"/>
  <c r="D33" i="5"/>
  <c r="D85" i="8"/>
  <c r="F9" i="11" s="1"/>
  <c r="K9" i="11" s="1"/>
  <c r="D89" i="1"/>
  <c r="E89" i="1" s="1"/>
  <c r="D117" i="9"/>
  <c r="D116" i="9" s="1"/>
  <c r="D83" i="6"/>
  <c r="D84" i="6"/>
  <c r="D80" i="8"/>
  <c r="D79" i="8"/>
  <c r="D86" i="1"/>
  <c r="E86" i="1" s="1"/>
  <c r="D82" i="8"/>
  <c r="F67" i="8"/>
  <c r="F68" i="8" s="1"/>
  <c r="F69" i="8" s="1"/>
  <c r="D92" i="8"/>
  <c r="D115" i="7"/>
  <c r="D114" i="7" s="1"/>
  <c r="D98" i="1"/>
  <c r="D97" i="1" s="1"/>
  <c r="E97" i="1" s="1"/>
  <c r="F71" i="6"/>
  <c r="F72" i="6" s="1"/>
  <c r="F73" i="6" s="1"/>
  <c r="D86" i="6"/>
  <c r="D96" i="6"/>
  <c r="D87" i="1"/>
  <c r="E87" i="1" s="1"/>
  <c r="F23" i="2"/>
  <c r="F8" i="2"/>
  <c r="G7" i="2"/>
  <c r="F73" i="1"/>
  <c r="F74" i="1" s="1"/>
  <c r="F75" i="1" s="1"/>
  <c r="F3" i="11" l="1"/>
  <c r="K3" i="11" s="1"/>
  <c r="F4" i="11"/>
  <c r="K4" i="11" s="1"/>
  <c r="F6" i="11"/>
  <c r="K6" i="11" s="1"/>
  <c r="F21" i="11"/>
  <c r="K21" i="11" s="1"/>
  <c r="F20" i="11"/>
  <c r="K20" i="11" s="1"/>
  <c r="D113" i="9"/>
  <c r="D114" i="9" s="1"/>
  <c r="D115" i="9" s="1"/>
  <c r="E98" i="1"/>
  <c r="D89" i="8"/>
  <c r="D90" i="8" s="1"/>
  <c r="D91" i="8" s="1"/>
  <c r="F93" i="9"/>
  <c r="F94" i="9" s="1"/>
  <c r="D111" i="7"/>
  <c r="D112" i="7" s="1"/>
  <c r="D113" i="7" s="1"/>
  <c r="D93" i="6"/>
  <c r="D94" i="6" s="1"/>
  <c r="D94" i="1"/>
  <c r="E94" i="1" s="1"/>
  <c r="F9" i="2"/>
  <c r="G9" i="2" s="1"/>
  <c r="G8" i="2"/>
  <c r="F24" i="2"/>
  <c r="G24" i="2" s="1"/>
  <c r="G23" i="2"/>
  <c r="F17" i="11" l="1"/>
  <c r="K17" i="11" s="1"/>
  <c r="D95" i="1"/>
  <c r="E95" i="1" s="1"/>
  <c r="D95" i="6"/>
  <c r="D96" i="1" l="1"/>
  <c r="E96" i="1" s="1"/>
</calcChain>
</file>

<file path=xl/sharedStrings.xml><?xml version="1.0" encoding="utf-8"?>
<sst xmlns="http://schemas.openxmlformats.org/spreadsheetml/2006/main" count="896" uniqueCount="307">
  <si>
    <t>编号</t>
  </si>
  <si>
    <t>规格(mm)</t>
  </si>
  <si>
    <t>数量</t>
  </si>
  <si>
    <t>单件重(kg)</t>
  </si>
  <si>
    <t>共重(kg)</t>
  </si>
  <si>
    <t>材质</t>
    <phoneticPr fontId="1" type="noConversion"/>
  </si>
  <si>
    <t>长边</t>
    <phoneticPr fontId="1" type="noConversion"/>
  </si>
  <si>
    <t>厚度</t>
    <phoneticPr fontId="1" type="noConversion"/>
  </si>
  <si>
    <t>短边</t>
    <phoneticPr fontId="1" type="noConversion"/>
  </si>
  <si>
    <t>侧面S</t>
    <phoneticPr fontId="1" type="noConversion"/>
  </si>
  <si>
    <t>D1</t>
    <phoneticPr fontId="1" type="noConversion"/>
  </si>
  <si>
    <t>T1</t>
    <phoneticPr fontId="1" type="noConversion"/>
  </si>
  <si>
    <t>F1</t>
    <phoneticPr fontId="1" type="noConversion"/>
  </si>
  <si>
    <t>F2</t>
    <phoneticPr fontId="1" type="noConversion"/>
  </si>
  <si>
    <t>TJ1</t>
    <phoneticPr fontId="1" type="noConversion"/>
  </si>
  <si>
    <t>DJ1</t>
    <phoneticPr fontId="1" type="noConversion"/>
  </si>
  <si>
    <t>FJ1</t>
    <phoneticPr fontId="1" type="noConversion"/>
  </si>
  <si>
    <t>HG1</t>
    <phoneticPr fontId="1" type="noConversion"/>
  </si>
  <si>
    <t>HG2</t>
  </si>
  <si>
    <t>HG3</t>
  </si>
  <si>
    <t>HJ1</t>
    <phoneticPr fontId="1" type="noConversion"/>
  </si>
  <si>
    <t>HJ2</t>
  </si>
  <si>
    <t>HJ3</t>
  </si>
  <si>
    <t>合计（kg）</t>
    <phoneticPr fontId="1" type="noConversion"/>
  </si>
  <si>
    <t>总计（kg）</t>
    <phoneticPr fontId="1" type="noConversion"/>
  </si>
  <si>
    <t>涂装</t>
    <phoneticPr fontId="1" type="noConversion"/>
  </si>
  <si>
    <t>焊缝1.5%（kg）</t>
    <phoneticPr fontId="1" type="noConversion"/>
  </si>
  <si>
    <t>HG5</t>
    <phoneticPr fontId="1" type="noConversion"/>
  </si>
  <si>
    <t>S1</t>
    <phoneticPr fontId="1" type="noConversion"/>
  </si>
  <si>
    <t>S2</t>
  </si>
  <si>
    <t>D2</t>
    <phoneticPr fontId="1" type="noConversion"/>
  </si>
  <si>
    <t>TU1</t>
    <phoneticPr fontId="1" type="noConversion"/>
  </si>
  <si>
    <t>TJ2</t>
    <phoneticPr fontId="1" type="noConversion"/>
  </si>
  <si>
    <t>FJ2</t>
    <phoneticPr fontId="1" type="noConversion"/>
  </si>
  <si>
    <t>FJ3</t>
    <phoneticPr fontId="1" type="noConversion"/>
  </si>
  <si>
    <t>HJ4</t>
  </si>
  <si>
    <t>HJ5</t>
  </si>
  <si>
    <t>D3</t>
    <phoneticPr fontId="1" type="noConversion"/>
  </si>
  <si>
    <t>HJ7</t>
    <phoneticPr fontId="1" type="noConversion"/>
  </si>
  <si>
    <t>HJ8</t>
    <phoneticPr fontId="1" type="noConversion"/>
  </si>
  <si>
    <t>HJ9</t>
    <phoneticPr fontId="1" type="noConversion"/>
  </si>
  <si>
    <t>HJ10</t>
    <phoneticPr fontId="1" type="noConversion"/>
  </si>
  <si>
    <t>HJ11</t>
    <phoneticPr fontId="1" type="noConversion"/>
  </si>
  <si>
    <t>HG4</t>
  </si>
  <si>
    <t>S3</t>
  </si>
  <si>
    <t>A</t>
    <phoneticPr fontId="1" type="noConversion"/>
  </si>
  <si>
    <t>HJ7a</t>
    <phoneticPr fontId="1" type="noConversion"/>
  </si>
  <si>
    <t>HJ7b</t>
    <phoneticPr fontId="1" type="noConversion"/>
  </si>
  <si>
    <t>HJ6</t>
    <phoneticPr fontId="1" type="noConversion"/>
  </si>
  <si>
    <t>HJ8a</t>
    <phoneticPr fontId="1" type="noConversion"/>
  </si>
  <si>
    <t>HJ9a</t>
    <phoneticPr fontId="1" type="noConversion"/>
  </si>
  <si>
    <t>HJ9b</t>
    <phoneticPr fontId="1" type="noConversion"/>
  </si>
  <si>
    <t>HJ9c</t>
    <phoneticPr fontId="1" type="noConversion"/>
  </si>
  <si>
    <t>HJ9d</t>
    <phoneticPr fontId="1" type="noConversion"/>
  </si>
  <si>
    <t>HJ9e</t>
    <phoneticPr fontId="1" type="noConversion"/>
  </si>
  <si>
    <t>HJ9f</t>
    <phoneticPr fontId="1" type="noConversion"/>
  </si>
  <si>
    <t>HJ8b</t>
    <phoneticPr fontId="1" type="noConversion"/>
  </si>
  <si>
    <t>HJ10a</t>
    <phoneticPr fontId="1" type="noConversion"/>
  </si>
  <si>
    <t>HJ10b</t>
    <phoneticPr fontId="1" type="noConversion"/>
  </si>
  <si>
    <t>HJ11a</t>
    <phoneticPr fontId="1" type="noConversion"/>
  </si>
  <si>
    <t>梁段编号</t>
    <phoneticPr fontId="1" type="noConversion"/>
  </si>
  <si>
    <t>顶板厚(mm)</t>
    <phoneticPr fontId="1" type="noConversion"/>
  </si>
  <si>
    <t>顶板加劲尺寸(mm)</t>
    <phoneticPr fontId="1" type="noConversion"/>
  </si>
  <si>
    <t>底板厚(mm)</t>
    <phoneticPr fontId="1" type="noConversion"/>
  </si>
  <si>
    <t>底板加劲尺寸(mm)</t>
    <phoneticPr fontId="1" type="noConversion"/>
  </si>
  <si>
    <t>腹板厚(mm)</t>
    <phoneticPr fontId="1" type="noConversion"/>
  </si>
  <si>
    <t>腹板加劲尺寸(mm)</t>
    <phoneticPr fontId="1" type="noConversion"/>
  </si>
  <si>
    <t>C1</t>
    <phoneticPr fontId="1" type="noConversion"/>
  </si>
  <si>
    <t>B1</t>
    <phoneticPr fontId="1" type="noConversion"/>
  </si>
  <si>
    <t>B2</t>
    <phoneticPr fontId="1" type="noConversion"/>
  </si>
  <si>
    <t>C2</t>
    <phoneticPr fontId="1" type="noConversion"/>
  </si>
  <si>
    <t>U 300×8、12×140</t>
  </si>
  <si>
    <t>U 300×8、12×140</t>
    <phoneticPr fontId="1" type="noConversion"/>
  </si>
  <si>
    <t>12×140</t>
  </si>
  <si>
    <t>L</t>
    <phoneticPr fontId="1" type="noConversion"/>
  </si>
  <si>
    <t>L1</t>
    <phoneticPr fontId="1" type="noConversion"/>
  </si>
  <si>
    <t>L2</t>
  </si>
  <si>
    <t>L3</t>
  </si>
  <si>
    <t>L5</t>
  </si>
  <si>
    <t>L6</t>
  </si>
  <si>
    <t>参数</t>
    <phoneticPr fontId="1" type="noConversion"/>
  </si>
  <si>
    <t>吊索4</t>
    <phoneticPr fontId="1" type="noConversion"/>
  </si>
  <si>
    <t>吊索5</t>
  </si>
  <si>
    <t>吊索6</t>
  </si>
  <si>
    <t>吊索7</t>
  </si>
  <si>
    <t>吊索8</t>
  </si>
  <si>
    <t>吊索9</t>
  </si>
  <si>
    <t>吊索10</t>
  </si>
  <si>
    <t>吊索11</t>
  </si>
  <si>
    <t>吊索12</t>
  </si>
  <si>
    <t>吊索13</t>
  </si>
  <si>
    <t>吊索14</t>
  </si>
  <si>
    <t>吊索15</t>
  </si>
  <si>
    <t>吊索16</t>
  </si>
  <si>
    <t>吊索17</t>
  </si>
  <si>
    <t>mm</t>
    <phoneticPr fontId="1" type="noConversion"/>
  </si>
  <si>
    <t>α</t>
    <phoneticPr fontId="1" type="noConversion"/>
  </si>
  <si>
    <t>度(°)</t>
    <phoneticPr fontId="1" type="noConversion"/>
  </si>
  <si>
    <t>材料</t>
    <phoneticPr fontId="1" type="noConversion"/>
  </si>
  <si>
    <t>数量</t>
    <phoneticPr fontId="1" type="noConversion"/>
  </si>
  <si>
    <t>单个梁段</t>
    <phoneticPr fontId="1" type="noConversion"/>
  </si>
  <si>
    <t>全桥合计（7）</t>
    <phoneticPr fontId="1" type="noConversion"/>
  </si>
  <si>
    <t>规格</t>
    <phoneticPr fontId="1" type="noConversion"/>
  </si>
  <si>
    <t>钢材(Q345D)</t>
    <phoneticPr fontId="1" type="noConversion"/>
  </si>
  <si>
    <t>t=10</t>
    <phoneticPr fontId="1" type="noConversion"/>
  </si>
  <si>
    <t>t=12</t>
    <phoneticPr fontId="1" type="noConversion"/>
  </si>
  <si>
    <t>t=14</t>
    <phoneticPr fontId="1" type="noConversion"/>
  </si>
  <si>
    <t>t=16</t>
    <phoneticPr fontId="1" type="noConversion"/>
  </si>
  <si>
    <t>t=24</t>
    <phoneticPr fontId="1" type="noConversion"/>
  </si>
  <si>
    <t>t=28</t>
    <phoneticPr fontId="1" type="noConversion"/>
  </si>
  <si>
    <t>t=50</t>
    <phoneticPr fontId="1" type="noConversion"/>
  </si>
  <si>
    <t>U型肋(t=8)</t>
    <phoneticPr fontId="1" type="noConversion"/>
  </si>
  <si>
    <t>合计</t>
    <phoneticPr fontId="1" type="noConversion"/>
  </si>
  <si>
    <t>kg</t>
    <phoneticPr fontId="1" type="noConversion"/>
  </si>
  <si>
    <t>焊缝1.5%</t>
  </si>
  <si>
    <t>总计</t>
  </si>
  <si>
    <t>内涂装</t>
    <phoneticPr fontId="1" type="noConversion"/>
  </si>
  <si>
    <t>外涂装</t>
    <phoneticPr fontId="1" type="noConversion"/>
  </si>
  <si>
    <t>吊索编号</t>
    <phoneticPr fontId="1" type="noConversion"/>
  </si>
  <si>
    <t>吊索型号</t>
    <phoneticPr fontId="1" type="noConversion"/>
  </si>
  <si>
    <t>PES7-73</t>
  </si>
  <si>
    <t>PES7-85</t>
  </si>
  <si>
    <t>PES7-85</t>
    <phoneticPr fontId="1" type="noConversion"/>
  </si>
  <si>
    <t>吊索倾角α(°)</t>
    <phoneticPr fontId="1" type="noConversion"/>
  </si>
  <si>
    <t>单根吊索长L(m)</t>
    <phoneticPr fontId="1" type="noConversion"/>
  </si>
  <si>
    <t>单根吊索钢丝重(kg)</t>
    <phoneticPr fontId="1" type="noConversion"/>
  </si>
  <si>
    <t>全桥根数</t>
    <phoneticPr fontId="1" type="noConversion"/>
  </si>
  <si>
    <t>全桥吊索钢丝重(kg)</t>
    <phoneticPr fontId="1" type="noConversion"/>
  </si>
  <si>
    <t>单位</t>
    <phoneticPr fontId="1" type="noConversion"/>
  </si>
  <si>
    <t>吊索</t>
    <phoneticPr fontId="1" type="noConversion"/>
  </si>
  <si>
    <t>PES7-73</t>
    <phoneticPr fontId="1" type="noConversion"/>
  </si>
  <si>
    <t>N1</t>
    <phoneticPr fontId="1" type="noConversion"/>
  </si>
  <si>
    <t>N2</t>
    <phoneticPr fontId="1" type="noConversion"/>
  </si>
  <si>
    <t>N3</t>
  </si>
  <si>
    <t>重量(kg)</t>
    <phoneticPr fontId="1" type="noConversion"/>
  </si>
  <si>
    <t>单个吊点</t>
    <phoneticPr fontId="1" type="noConversion"/>
  </si>
  <si>
    <t>全桥合计(共528个)</t>
    <phoneticPr fontId="1" type="noConversion"/>
  </si>
  <si>
    <t>A1</t>
    <phoneticPr fontId="1" type="noConversion"/>
  </si>
  <si>
    <t>A2</t>
  </si>
  <si>
    <t>A3</t>
  </si>
  <si>
    <t>单个匹配件</t>
    <phoneticPr fontId="1" type="noConversion"/>
  </si>
  <si>
    <t>M24螺栓</t>
    <phoneticPr fontId="1" type="noConversion"/>
  </si>
  <si>
    <t>项目</t>
    <phoneticPr fontId="1" type="noConversion"/>
  </si>
  <si>
    <t>钢材</t>
    <phoneticPr fontId="1" type="noConversion"/>
  </si>
  <si>
    <t>螺栓</t>
    <phoneticPr fontId="1" type="noConversion"/>
  </si>
  <si>
    <t>螺母</t>
    <phoneticPr fontId="1" type="noConversion"/>
  </si>
  <si>
    <t>垫圈</t>
    <phoneticPr fontId="1" type="noConversion"/>
  </si>
  <si>
    <t>M24×140(GB/1228-91)</t>
    <phoneticPr fontId="1" type="noConversion"/>
  </si>
  <si>
    <t>GB/T1229-M24-9H</t>
    <phoneticPr fontId="1" type="noConversion"/>
  </si>
  <si>
    <t>GB/T1230 24</t>
    <phoneticPr fontId="1" type="noConversion"/>
  </si>
  <si>
    <t>-</t>
    <phoneticPr fontId="1" type="noConversion"/>
  </si>
  <si>
    <t>40MnB</t>
    <phoneticPr fontId="1" type="noConversion"/>
  </si>
  <si>
    <t>sin角度</t>
    <phoneticPr fontId="1" type="noConversion"/>
  </si>
  <si>
    <t>斜边</t>
    <phoneticPr fontId="1" type="noConversion"/>
  </si>
  <si>
    <t>cos角度</t>
    <phoneticPr fontId="1" type="noConversion"/>
  </si>
  <si>
    <t>临边</t>
    <phoneticPr fontId="1" type="noConversion"/>
  </si>
  <si>
    <t>全桥数量</t>
    <phoneticPr fontId="1" type="noConversion"/>
  </si>
  <si>
    <t>全桥重量(kg)</t>
    <phoneticPr fontId="1" type="noConversion"/>
  </si>
  <si>
    <t>材质</t>
  </si>
  <si>
    <t>高强螺栓</t>
    <phoneticPr fontId="1" type="noConversion"/>
  </si>
  <si>
    <t>M22×80-10.9S</t>
  </si>
  <si>
    <t>HG5</t>
  </si>
  <si>
    <t>HG6</t>
  </si>
  <si>
    <t>HG7</t>
  </si>
  <si>
    <t>HG8</t>
  </si>
  <si>
    <t>HG5a</t>
    <phoneticPr fontId="1" type="noConversion"/>
  </si>
  <si>
    <t>HG6</t>
    <phoneticPr fontId="1" type="noConversion"/>
  </si>
  <si>
    <t>HG2a</t>
    <phoneticPr fontId="1" type="noConversion"/>
  </si>
  <si>
    <t>HG3</t>
    <phoneticPr fontId="1" type="noConversion"/>
  </si>
  <si>
    <t>HG8a</t>
    <phoneticPr fontId="1" type="noConversion"/>
  </si>
  <si>
    <t>HG2</t>
    <phoneticPr fontId="1" type="noConversion"/>
  </si>
  <si>
    <t>HG9</t>
    <phoneticPr fontId="1" type="noConversion"/>
  </si>
  <si>
    <t>横隔板加劲</t>
    <phoneticPr fontId="1" type="noConversion"/>
  </si>
  <si>
    <t>横隔板</t>
    <phoneticPr fontId="1" type="noConversion"/>
  </si>
  <si>
    <t>腹板</t>
    <phoneticPr fontId="1" type="noConversion"/>
  </si>
  <si>
    <t>底板</t>
    <phoneticPr fontId="1" type="noConversion"/>
  </si>
  <si>
    <t>顶板</t>
    <phoneticPr fontId="1" type="noConversion"/>
  </si>
  <si>
    <t>位置</t>
    <phoneticPr fontId="1" type="noConversion"/>
  </si>
  <si>
    <t>F3</t>
    <phoneticPr fontId="1" type="noConversion"/>
  </si>
  <si>
    <t>HG6a</t>
    <phoneticPr fontId="1" type="noConversion"/>
  </si>
  <si>
    <t>HG7a</t>
    <phoneticPr fontId="1" type="noConversion"/>
  </si>
  <si>
    <t>HG5b</t>
    <phoneticPr fontId="1" type="noConversion"/>
  </si>
  <si>
    <t>HG8b</t>
    <phoneticPr fontId="1" type="noConversion"/>
  </si>
  <si>
    <t>L4</t>
    <phoneticPr fontId="1" type="noConversion"/>
  </si>
  <si>
    <t>D4</t>
    <phoneticPr fontId="1" type="noConversion"/>
  </si>
  <si>
    <t>D4a</t>
    <phoneticPr fontId="1" type="noConversion"/>
  </si>
  <si>
    <t>F4</t>
  </si>
  <si>
    <t>F5</t>
  </si>
  <si>
    <t>FJ4</t>
  </si>
  <si>
    <t>FJ5</t>
  </si>
  <si>
    <t>F6</t>
  </si>
  <si>
    <t>DJ2</t>
    <phoneticPr fontId="1" type="noConversion"/>
  </si>
  <si>
    <t>HG1a</t>
    <phoneticPr fontId="1" type="noConversion"/>
  </si>
  <si>
    <t>HG1b</t>
    <phoneticPr fontId="1" type="noConversion"/>
  </si>
  <si>
    <t>HG2b</t>
    <phoneticPr fontId="1" type="noConversion"/>
  </si>
  <si>
    <t>HG2c</t>
    <phoneticPr fontId="1" type="noConversion"/>
  </si>
  <si>
    <t>HG3a</t>
    <phoneticPr fontId="1" type="noConversion"/>
  </si>
  <si>
    <t>HG3b</t>
    <phoneticPr fontId="1" type="noConversion"/>
  </si>
  <si>
    <t>HG3c</t>
    <phoneticPr fontId="1" type="noConversion"/>
  </si>
  <si>
    <t>HG4a</t>
    <phoneticPr fontId="1" type="noConversion"/>
  </si>
  <si>
    <t>HG4b</t>
    <phoneticPr fontId="1" type="noConversion"/>
  </si>
  <si>
    <t>HG4c</t>
    <phoneticPr fontId="1" type="noConversion"/>
  </si>
  <si>
    <t>HG5c</t>
    <phoneticPr fontId="1" type="noConversion"/>
  </si>
  <si>
    <t>HG6b</t>
    <phoneticPr fontId="1" type="noConversion"/>
  </si>
  <si>
    <t>HG6c</t>
    <phoneticPr fontId="1" type="noConversion"/>
  </si>
  <si>
    <t>HG7b</t>
    <phoneticPr fontId="1" type="noConversion"/>
  </si>
  <si>
    <t>HG7c</t>
    <phoneticPr fontId="1" type="noConversion"/>
  </si>
  <si>
    <t>HL1</t>
    <phoneticPr fontId="1" type="noConversion"/>
  </si>
  <si>
    <t>HL2</t>
  </si>
  <si>
    <t>HL3</t>
  </si>
  <si>
    <t>HJ3a</t>
    <phoneticPr fontId="1" type="noConversion"/>
  </si>
  <si>
    <t>人洞加劲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</si>
  <si>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</si>
  <si>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</si>
  <si>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</si>
  <si>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Z1</t>
    <phoneticPr fontId="1" type="noConversion"/>
  </si>
  <si>
    <t>Z2</t>
    <phoneticPr fontId="1" type="noConversion"/>
  </si>
  <si>
    <t>Z3</t>
    <phoneticPr fontId="1" type="noConversion"/>
  </si>
  <si>
    <t>Z4</t>
    <phoneticPr fontId="1" type="noConversion"/>
  </si>
  <si>
    <t>C2</t>
  </si>
  <si>
    <t>C3</t>
  </si>
  <si>
    <t>槽口</t>
    <phoneticPr fontId="1" type="noConversion"/>
  </si>
  <si>
    <t>t=32</t>
    <phoneticPr fontId="1" type="noConversion"/>
  </si>
  <si>
    <t>t=20</t>
    <phoneticPr fontId="1" type="noConversion"/>
  </si>
  <si>
    <t>t=36</t>
    <phoneticPr fontId="1" type="noConversion"/>
  </si>
  <si>
    <t>t=40</t>
    <phoneticPr fontId="1" type="noConversion"/>
  </si>
  <si>
    <t>HG4</t>
    <phoneticPr fontId="1" type="noConversion"/>
  </si>
  <si>
    <t>HG7</t>
    <phoneticPr fontId="1" type="noConversion"/>
  </si>
  <si>
    <t>HG8</t>
    <phoneticPr fontId="1" type="noConversion"/>
  </si>
  <si>
    <t>F3a</t>
    <phoneticPr fontId="1" type="noConversion"/>
  </si>
  <si>
    <t>F4a</t>
    <phoneticPr fontId="1" type="noConversion"/>
  </si>
  <si>
    <t>F5a</t>
    <phoneticPr fontId="1" type="noConversion"/>
  </si>
  <si>
    <t>Hg6a</t>
    <phoneticPr fontId="1" type="noConversion"/>
  </si>
  <si>
    <t>HG8c</t>
    <phoneticPr fontId="1" type="noConversion"/>
  </si>
  <si>
    <t>HG10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</si>
  <si>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</si>
  <si>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材料名称</t>
  </si>
  <si>
    <t>规格</t>
  </si>
  <si>
    <t>单位</t>
  </si>
  <si>
    <t>吊点</t>
    <phoneticPr fontId="1" type="noConversion"/>
  </si>
  <si>
    <t>Q355D</t>
    <phoneticPr fontId="1" type="noConversion"/>
  </si>
  <si>
    <t>kg</t>
  </si>
  <si>
    <t>小计</t>
  </si>
  <si>
    <t>套</t>
    <phoneticPr fontId="1" type="noConversion"/>
  </si>
  <si>
    <t>外表面涂装</t>
    <phoneticPr fontId="1" type="noConversion"/>
  </si>
  <si>
    <t>内表面涂装</t>
    <phoneticPr fontId="1" type="noConversion"/>
  </si>
  <si>
    <t>t=42</t>
    <phoneticPr fontId="1" type="noConversion"/>
  </si>
  <si>
    <t>M24螺栓(套)</t>
    <phoneticPr fontId="1" type="noConversion"/>
  </si>
  <si>
    <t>M22高强螺栓</t>
    <phoneticPr fontId="1" type="noConversion"/>
  </si>
  <si>
    <t>密封门</t>
    <phoneticPr fontId="1" type="noConversion"/>
  </si>
  <si>
    <t>AY-1690-8-90×12-6.1</t>
  </si>
  <si>
    <t>主梁</t>
    <phoneticPr fontId="1" type="noConversion"/>
  </si>
  <si>
    <t>匹配件</t>
    <phoneticPr fontId="1" type="noConversion"/>
  </si>
  <si>
    <t>工地连接</t>
    <phoneticPr fontId="1" type="noConversion"/>
  </si>
  <si>
    <t>M24</t>
    <phoneticPr fontId="1" type="noConversion"/>
  </si>
  <si>
    <t>M22</t>
    <phoneticPr fontId="1" type="noConversion"/>
  </si>
  <si>
    <t>个</t>
    <phoneticPr fontId="1" type="noConversion"/>
  </si>
  <si>
    <t>GT1</t>
    <phoneticPr fontId="1" type="noConversion"/>
  </si>
  <si>
    <t>GD1</t>
    <phoneticPr fontId="1" type="noConversion"/>
  </si>
  <si>
    <t>加劲</t>
    <phoneticPr fontId="1" type="noConversion"/>
  </si>
  <si>
    <t>GF1</t>
  </si>
  <si>
    <t>GF1a</t>
    <phoneticPr fontId="1" type="noConversion"/>
  </si>
  <si>
    <t>GF2</t>
    <phoneticPr fontId="1" type="noConversion"/>
  </si>
  <si>
    <t>GF2a</t>
    <phoneticPr fontId="1" type="noConversion"/>
  </si>
  <si>
    <t>横隔</t>
    <phoneticPr fontId="1" type="noConversion"/>
  </si>
  <si>
    <t>GG1</t>
    <phoneticPr fontId="1" type="noConversion"/>
  </si>
  <si>
    <t>GG2</t>
  </si>
  <si>
    <t>GG3</t>
  </si>
  <si>
    <t>GG4</t>
  </si>
  <si>
    <t>GG5</t>
  </si>
  <si>
    <t>GGJ1</t>
  </si>
  <si>
    <t>GTJ1</t>
  </si>
  <si>
    <t>GDJ1</t>
  </si>
  <si>
    <t>GFJ1</t>
  </si>
  <si>
    <t>GFJ2</t>
  </si>
  <si>
    <t>小桩号结合段拱</t>
    <phoneticPr fontId="1" type="noConversion"/>
  </si>
  <si>
    <t>小桩号结合段连梁</t>
    <phoneticPr fontId="1" type="noConversion"/>
  </si>
  <si>
    <t>LT1</t>
    <phoneticPr fontId="1" type="noConversion"/>
  </si>
  <si>
    <t>LD1</t>
    <phoneticPr fontId="1" type="noConversion"/>
  </si>
  <si>
    <t>LF1</t>
    <phoneticPr fontId="1" type="noConversion"/>
  </si>
  <si>
    <t>LF2</t>
  </si>
  <si>
    <t>LG1</t>
    <phoneticPr fontId="1" type="noConversion"/>
  </si>
  <si>
    <t>LJ1</t>
    <phoneticPr fontId="1" type="noConversion"/>
  </si>
  <si>
    <t>LJ2</t>
  </si>
  <si>
    <t>大桩号结合段拱</t>
    <phoneticPr fontId="1" type="noConversion"/>
  </si>
  <si>
    <t>大桩号结合段连梁</t>
    <phoneticPr fontId="1" type="noConversion"/>
  </si>
  <si>
    <t>C4</t>
  </si>
  <si>
    <t>R4</t>
  </si>
  <si>
    <t>FJ4</t>
    <phoneticPr fontId="1" type="noConversion"/>
  </si>
  <si>
    <t>FJ5</t>
    <phoneticPr fontId="1" type="noConversion"/>
  </si>
  <si>
    <t>支座加劲</t>
    <phoneticPr fontId="1" type="noConversion"/>
  </si>
  <si>
    <t>AY-1690-8-90×12-6.1</t>
    <phoneticPr fontId="1" type="noConversion"/>
  </si>
  <si>
    <t>小桩号</t>
    <phoneticPr fontId="1" type="noConversion"/>
  </si>
  <si>
    <t>大桩号</t>
    <phoneticPr fontId="1" type="noConversion"/>
  </si>
  <si>
    <t>t=60</t>
    <phoneticPr fontId="1" type="noConversion"/>
  </si>
  <si>
    <t>GG2a</t>
    <phoneticPr fontId="1" type="noConversion"/>
  </si>
  <si>
    <t>GG3a</t>
    <phoneticPr fontId="1" type="noConversion"/>
  </si>
  <si>
    <t>GG4a</t>
    <phoneticPr fontId="1" type="noConversion"/>
  </si>
  <si>
    <t>GG5a</t>
    <phoneticPr fontId="1" type="noConversion"/>
  </si>
  <si>
    <t>GF3</t>
    <phoneticPr fontId="1" type="noConversion"/>
  </si>
  <si>
    <t>GFJ3</t>
  </si>
  <si>
    <t>GFJ3</t>
    <phoneticPr fontId="1" type="noConversion"/>
  </si>
  <si>
    <t>Z5</t>
  </si>
  <si>
    <t>Z7</t>
  </si>
  <si>
    <t>Z5a</t>
    <phoneticPr fontId="1" type="noConversion"/>
  </si>
  <si>
    <t>Z6</t>
    <phoneticPr fontId="1" type="noConversion"/>
  </si>
  <si>
    <t>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</si>
</sst>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"/>
    <numFmt numFmtId="178" formatCode="&quot;均&quot;0.0"/>
    <numFmt numFmtId="179" formatCode="0.000"/>
    <numFmt numFmtId="180" formatCode="0.0000"/>
    <numFmt numFmtId="181" formatCode="0\(&quot;套&quot;\)"/>
    <numFmt numFmtId="182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5F0C-B822-4AD4-AF68-90621781B1BE}">
  <dimension ref="A1:T33"/>
  <sheetViews>
    <sheetView topLeftCell="A16" workbookViewId="0">
      <selection activeCell="F36" sqref="F36"/>
    </sheetView>
  </sheetViews>
  <sheetFormatPr defaultColWidth="9" defaultRowHeight="13.8" x14ac:dyDescent="0.25"/>
  <cols>
    <col min="1" max="1" width="16.44140625" style="1" customWidth="1"/>
    <col min="2" max="2" width="16.6640625" style="1" customWidth="1"/>
    <col min="3" max="3" width="17.109375" style="1" customWidth="1"/>
    <col min="4" max="4" width="9.6640625" style="1" customWidth="1"/>
    <col min="5" max="6" width="11" style="1" bestFit="1" customWidth="1"/>
    <col min="7" max="7" width="13.109375" style="1" bestFit="1" customWidth="1"/>
    <col min="8" max="10" width="11" style="1" bestFit="1" customWidth="1"/>
    <col min="11" max="11" width="16.77734375" style="1" customWidth="1"/>
    <col min="12" max="12" width="16.6640625" style="1" customWidth="1"/>
    <col min="13" max="20" width="11" style="1" bestFit="1" customWidth="1"/>
    <col min="21" max="16384" width="9" style="1"/>
  </cols>
  <sheetData>
    <row r="1" spans="1:12" x14ac:dyDescent="0.25">
      <c r="A1" s="4" t="s">
        <v>60</v>
      </c>
      <c r="B1" s="4" t="s">
        <v>67</v>
      </c>
      <c r="C1" s="4" t="s">
        <v>68</v>
      </c>
      <c r="D1" s="4" t="s">
        <v>45</v>
      </c>
      <c r="E1" s="4" t="s">
        <v>45</v>
      </c>
      <c r="F1" s="4" t="s">
        <v>45</v>
      </c>
      <c r="G1" s="4" t="s">
        <v>45</v>
      </c>
      <c r="H1" s="4" t="s">
        <v>45</v>
      </c>
      <c r="I1" s="4" t="s">
        <v>45</v>
      </c>
      <c r="J1" s="4" t="s">
        <v>45</v>
      </c>
      <c r="K1" s="4" t="s">
        <v>69</v>
      </c>
      <c r="L1" s="4" t="s">
        <v>70</v>
      </c>
    </row>
    <row r="2" spans="1:12" x14ac:dyDescent="0.25">
      <c r="A2" s="4" t="s">
        <v>61</v>
      </c>
      <c r="B2" s="4">
        <v>16</v>
      </c>
      <c r="C2" s="4">
        <v>16</v>
      </c>
      <c r="D2" s="34">
        <v>16</v>
      </c>
      <c r="E2" s="34"/>
      <c r="F2" s="34"/>
      <c r="G2" s="34"/>
      <c r="H2" s="34"/>
      <c r="I2" s="34"/>
      <c r="J2" s="34"/>
      <c r="K2" s="4">
        <v>16</v>
      </c>
      <c r="L2" s="4">
        <v>16</v>
      </c>
    </row>
    <row r="3" spans="1:12" x14ac:dyDescent="0.25">
      <c r="A3" s="4" t="s">
        <v>62</v>
      </c>
      <c r="B3" s="4" t="s">
        <v>72</v>
      </c>
      <c r="C3" s="4" t="s">
        <v>72</v>
      </c>
      <c r="D3" s="34" t="s">
        <v>72</v>
      </c>
      <c r="E3" s="34"/>
      <c r="F3" s="34"/>
      <c r="G3" s="34"/>
      <c r="H3" s="34"/>
      <c r="I3" s="34"/>
      <c r="J3" s="34"/>
      <c r="K3" s="4" t="s">
        <v>71</v>
      </c>
      <c r="L3" s="4" t="s">
        <v>71</v>
      </c>
    </row>
    <row r="4" spans="1:12" x14ac:dyDescent="0.25">
      <c r="A4" s="4" t="s">
        <v>63</v>
      </c>
      <c r="B4" s="4">
        <v>24</v>
      </c>
      <c r="C4" s="4">
        <v>32</v>
      </c>
      <c r="D4" s="34">
        <v>28</v>
      </c>
      <c r="E4" s="34"/>
      <c r="F4" s="34"/>
      <c r="G4" s="34"/>
      <c r="H4" s="34"/>
      <c r="I4" s="34"/>
      <c r="J4" s="34"/>
      <c r="K4" s="4">
        <v>32</v>
      </c>
      <c r="L4" s="4">
        <v>24</v>
      </c>
    </row>
    <row r="5" spans="1:12" x14ac:dyDescent="0.25">
      <c r="A5" s="4" t="s">
        <v>64</v>
      </c>
      <c r="B5" s="4" t="s">
        <v>73</v>
      </c>
      <c r="C5" s="4" t="s">
        <v>73</v>
      </c>
      <c r="D5" s="34" t="s">
        <v>73</v>
      </c>
      <c r="E5" s="34"/>
      <c r="F5" s="34"/>
      <c r="G5" s="34"/>
      <c r="H5" s="34"/>
      <c r="I5" s="34"/>
      <c r="J5" s="34"/>
      <c r="K5" s="4" t="s">
        <v>73</v>
      </c>
      <c r="L5" s="4" t="s">
        <v>73</v>
      </c>
    </row>
    <row r="6" spans="1:12" x14ac:dyDescent="0.25">
      <c r="A6" s="4" t="s">
        <v>65</v>
      </c>
      <c r="B6" s="4">
        <v>14</v>
      </c>
      <c r="C6" s="4">
        <v>14</v>
      </c>
      <c r="D6" s="34">
        <v>14</v>
      </c>
      <c r="E6" s="34"/>
      <c r="F6" s="34"/>
      <c r="G6" s="34"/>
      <c r="H6" s="34"/>
      <c r="I6" s="34"/>
      <c r="J6" s="34"/>
      <c r="K6" s="4">
        <v>14</v>
      </c>
      <c r="L6" s="4">
        <v>14</v>
      </c>
    </row>
    <row r="7" spans="1:12" x14ac:dyDescent="0.25">
      <c r="A7" s="4" t="s">
        <v>66</v>
      </c>
      <c r="B7" s="4" t="s">
        <v>73</v>
      </c>
      <c r="C7" s="4" t="s">
        <v>73</v>
      </c>
      <c r="D7" s="34" t="s">
        <v>73</v>
      </c>
      <c r="E7" s="34"/>
      <c r="F7" s="34"/>
      <c r="G7" s="34"/>
      <c r="H7" s="34"/>
      <c r="I7" s="34"/>
      <c r="J7" s="34"/>
      <c r="K7" s="4" t="s">
        <v>73</v>
      </c>
      <c r="L7" s="4" t="s">
        <v>73</v>
      </c>
    </row>
    <row r="19" spans="1:20" x14ac:dyDescent="0.25">
      <c r="A19" s="4" t="s">
        <v>118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">
        <v>16</v>
      </c>
      <c r="R19" s="4">
        <v>17</v>
      </c>
      <c r="S19" s="4">
        <v>18</v>
      </c>
      <c r="T19" s="4">
        <v>19</v>
      </c>
    </row>
    <row r="20" spans="1:20" x14ac:dyDescent="0.25">
      <c r="A20" s="4" t="s">
        <v>119</v>
      </c>
      <c r="B20" s="32" t="s">
        <v>122</v>
      </c>
      <c r="C20" s="33"/>
      <c r="D20" s="32" t="s">
        <v>120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3"/>
      <c r="S20" s="32" t="s">
        <v>122</v>
      </c>
      <c r="T20" s="33"/>
    </row>
    <row r="21" spans="1:20" x14ac:dyDescent="0.25">
      <c r="A21" s="4" t="s">
        <v>123</v>
      </c>
      <c r="B21" s="20">
        <v>91.136097339339173</v>
      </c>
      <c r="C21" s="20">
        <v>86.573859226605421</v>
      </c>
      <c r="D21" s="20">
        <v>84.670367969435915</v>
      </c>
      <c r="E21" s="20">
        <v>83.650437607715588</v>
      </c>
      <c r="F21" s="20">
        <v>83.033914328956229</v>
      </c>
      <c r="G21" s="20">
        <v>82.638478751481372</v>
      </c>
      <c r="H21" s="20">
        <v>82.3807669996432</v>
      </c>
      <c r="I21" s="20">
        <v>82.218362310319591</v>
      </c>
      <c r="J21" s="20">
        <v>82.128730374957939</v>
      </c>
      <c r="K21" s="20">
        <v>82.100516916956991</v>
      </c>
      <c r="L21" s="20">
        <v>82.145937154351302</v>
      </c>
      <c r="M21" s="20">
        <v>82.253370312444432</v>
      </c>
      <c r="N21" s="20">
        <v>82.434737296716492</v>
      </c>
      <c r="O21" s="20">
        <v>82.713152890248679</v>
      </c>
      <c r="P21" s="20">
        <v>83.13148422317775</v>
      </c>
      <c r="Q21" s="20">
        <v>83.772742499080849</v>
      </c>
      <c r="R21" s="20">
        <v>84.815013477367259</v>
      </c>
      <c r="S21" s="20">
        <v>86.713527054950546</v>
      </c>
      <c r="T21" s="20">
        <v>91.055335462011726</v>
      </c>
    </row>
    <row r="22" spans="1:20" x14ac:dyDescent="0.25">
      <c r="A22" s="4" t="s">
        <v>124</v>
      </c>
      <c r="B22" s="17">
        <v>9.0522364366509098</v>
      </c>
      <c r="C22" s="17">
        <v>13.796946655624046</v>
      </c>
      <c r="D22" s="17">
        <v>18.029097153853552</v>
      </c>
      <c r="E22" s="17">
        <v>21.719207893819334</v>
      </c>
      <c r="F22" s="17">
        <v>24.860682964285239</v>
      </c>
      <c r="G22" s="17">
        <v>27.451481230388037</v>
      </c>
      <c r="H22" s="17">
        <v>29.491055526542418</v>
      </c>
      <c r="I22" s="17">
        <v>30.979505372112936</v>
      </c>
      <c r="J22" s="17">
        <v>31.91727709889949</v>
      </c>
      <c r="K22" s="17">
        <v>32.305035772276</v>
      </c>
      <c r="L22" s="17">
        <v>31.984504383450805</v>
      </c>
      <c r="M22" s="17">
        <v>31.113991647138</v>
      </c>
      <c r="N22" s="17">
        <v>29.692866305554553</v>
      </c>
      <c r="O22" s="17">
        <v>27.720727910280978</v>
      </c>
      <c r="P22" s="17">
        <v>25.197544286586556</v>
      </c>
      <c r="Q22" s="17">
        <v>22.123970492001661</v>
      </c>
      <c r="R22" s="17">
        <v>18.502225949405535</v>
      </c>
      <c r="S22" s="17">
        <v>14.339592895983349</v>
      </c>
      <c r="T22" s="17">
        <v>9.6677192394440929</v>
      </c>
    </row>
    <row r="23" spans="1:20" x14ac:dyDescent="0.25">
      <c r="A23" s="4" t="s">
        <v>125</v>
      </c>
      <c r="B23" s="8">
        <f>B22*25.6</f>
        <v>231.7372527782633</v>
      </c>
      <c r="C23" s="8">
        <f>C22*25.6</f>
        <v>353.20183438397561</v>
      </c>
      <c r="D23" s="8">
        <f t="shared" ref="D23:R23" si="0">D22*22</f>
        <v>396.64013738477814</v>
      </c>
      <c r="E23" s="8">
        <f t="shared" si="0"/>
        <v>477.82257366402536</v>
      </c>
      <c r="F23" s="8">
        <f t="shared" si="0"/>
        <v>546.93502521427524</v>
      </c>
      <c r="G23" s="8">
        <f t="shared" si="0"/>
        <v>603.9325870685368</v>
      </c>
      <c r="H23" s="8">
        <f t="shared" si="0"/>
        <v>648.80322158393324</v>
      </c>
      <c r="I23" s="8">
        <f t="shared" si="0"/>
        <v>681.54911818648463</v>
      </c>
      <c r="J23" s="8">
        <f t="shared" si="0"/>
        <v>702.18009617578878</v>
      </c>
      <c r="K23" s="8">
        <f t="shared" si="0"/>
        <v>710.71078699007194</v>
      </c>
      <c r="L23" s="8">
        <f t="shared" si="0"/>
        <v>703.65909643591772</v>
      </c>
      <c r="M23" s="8">
        <f t="shared" si="0"/>
        <v>684.50781623703597</v>
      </c>
      <c r="N23" s="8">
        <f t="shared" si="0"/>
        <v>653.2430587222002</v>
      </c>
      <c r="O23" s="8">
        <f t="shared" si="0"/>
        <v>609.85601402618147</v>
      </c>
      <c r="P23" s="8">
        <f t="shared" si="0"/>
        <v>554.34597430490419</v>
      </c>
      <c r="Q23" s="8">
        <f t="shared" si="0"/>
        <v>486.72735082403653</v>
      </c>
      <c r="R23" s="8">
        <f t="shared" si="0"/>
        <v>407.04897088692178</v>
      </c>
      <c r="S23" s="8">
        <f>S22*25.6</f>
        <v>367.09357813717378</v>
      </c>
      <c r="T23" s="8">
        <f>T22*25.6</f>
        <v>247.4936125297688</v>
      </c>
    </row>
    <row r="24" spans="1:20" x14ac:dyDescent="0.25">
      <c r="A24" s="4" t="s">
        <v>126</v>
      </c>
      <c r="B24" s="4">
        <v>2</v>
      </c>
      <c r="C24" s="4">
        <v>2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  <c r="I24" s="4">
        <v>2</v>
      </c>
      <c r="J24" s="4">
        <v>2</v>
      </c>
      <c r="K24" s="4">
        <v>2</v>
      </c>
      <c r="L24" s="4">
        <v>2</v>
      </c>
      <c r="M24" s="4">
        <v>2</v>
      </c>
      <c r="N24" s="4">
        <v>2</v>
      </c>
      <c r="O24" s="4">
        <v>2</v>
      </c>
      <c r="P24" s="4">
        <v>2</v>
      </c>
      <c r="Q24" s="4">
        <v>2</v>
      </c>
      <c r="R24" s="4">
        <v>2</v>
      </c>
      <c r="S24" s="4">
        <v>2</v>
      </c>
      <c r="T24" s="4">
        <v>2</v>
      </c>
    </row>
    <row r="25" spans="1:20" x14ac:dyDescent="0.25">
      <c r="A25" s="4" t="s">
        <v>127</v>
      </c>
      <c r="B25" s="18">
        <f>B24*B23</f>
        <v>463.47450555652659</v>
      </c>
      <c r="C25" s="18">
        <f t="shared" ref="C25:T25" si="1">C24*C23</f>
        <v>706.40366876795122</v>
      </c>
      <c r="D25" s="18">
        <f t="shared" si="1"/>
        <v>793.28027476955629</v>
      </c>
      <c r="E25" s="18">
        <f t="shared" si="1"/>
        <v>955.64514732805071</v>
      </c>
      <c r="F25" s="18">
        <f t="shared" si="1"/>
        <v>1093.8700504285505</v>
      </c>
      <c r="G25" s="18">
        <f t="shared" si="1"/>
        <v>1207.8651741370736</v>
      </c>
      <c r="H25" s="18">
        <f t="shared" si="1"/>
        <v>1297.6064431678665</v>
      </c>
      <c r="I25" s="18">
        <f t="shared" si="1"/>
        <v>1363.0982363729693</v>
      </c>
      <c r="J25" s="18">
        <f t="shared" si="1"/>
        <v>1404.3601923515776</v>
      </c>
      <c r="K25" s="18">
        <f t="shared" si="1"/>
        <v>1421.4215739801439</v>
      </c>
      <c r="L25" s="18">
        <f t="shared" si="1"/>
        <v>1407.3181928718354</v>
      </c>
      <c r="M25" s="18">
        <f t="shared" si="1"/>
        <v>1369.0156324740719</v>
      </c>
      <c r="N25" s="18">
        <f t="shared" si="1"/>
        <v>1306.4861174444004</v>
      </c>
      <c r="O25" s="18">
        <f t="shared" si="1"/>
        <v>1219.7120280523629</v>
      </c>
      <c r="P25" s="18">
        <f t="shared" si="1"/>
        <v>1108.6919486098084</v>
      </c>
      <c r="Q25" s="18">
        <f t="shared" si="1"/>
        <v>973.45470164807307</v>
      </c>
      <c r="R25" s="18">
        <f t="shared" si="1"/>
        <v>814.09794177384356</v>
      </c>
      <c r="S25" s="18">
        <f t="shared" si="1"/>
        <v>734.18715627434756</v>
      </c>
      <c r="T25" s="18">
        <f t="shared" si="1"/>
        <v>494.98722505953759</v>
      </c>
    </row>
    <row r="30" spans="1:20" x14ac:dyDescent="0.25">
      <c r="A30" s="4"/>
      <c r="B30" s="4"/>
      <c r="C30" s="4" t="s">
        <v>128</v>
      </c>
      <c r="D30" s="4" t="s">
        <v>129</v>
      </c>
    </row>
    <row r="31" spans="1:20" x14ac:dyDescent="0.25">
      <c r="A31" s="34" t="s">
        <v>129</v>
      </c>
      <c r="B31" s="4" t="s">
        <v>130</v>
      </c>
      <c r="C31" s="4" t="s">
        <v>113</v>
      </c>
      <c r="D31" s="8">
        <f>SUM(C25:S25)</f>
        <v>19176.514480452483</v>
      </c>
    </row>
    <row r="32" spans="1:20" x14ac:dyDescent="0.25">
      <c r="A32" s="34"/>
      <c r="B32" s="4" t="s">
        <v>121</v>
      </c>
      <c r="C32" s="4" t="s">
        <v>113</v>
      </c>
      <c r="D32" s="7">
        <f>B25+T25</f>
        <v>958.46173061606419</v>
      </c>
    </row>
    <row r="33" spans="1:4" x14ac:dyDescent="0.25">
      <c r="A33" s="34" t="s">
        <v>112</v>
      </c>
      <c r="B33" s="34"/>
      <c r="C33" s="4" t="s">
        <v>113</v>
      </c>
      <c r="D33" s="7">
        <f>D31+D32</f>
        <v>20134.976211068548</v>
      </c>
    </row>
  </sheetData>
  <mergeCells count="11">
    <mergeCell ref="S20:T20"/>
    <mergeCell ref="A31:A32"/>
    <mergeCell ref="A33:B33"/>
    <mergeCell ref="D7:J7"/>
    <mergeCell ref="D2:J2"/>
    <mergeCell ref="D4:J4"/>
    <mergeCell ref="D6:J6"/>
    <mergeCell ref="D3:J3"/>
    <mergeCell ref="D5:J5"/>
    <mergeCell ref="D20:R20"/>
    <mergeCell ref="B20:C20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98"/>
  <sheetViews>
    <sheetView topLeftCell="A76" workbookViewId="0">
      <selection activeCell="F73" sqref="F73:F75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1" style="1" customWidth="1"/>
    <col min="4" max="4" width="11" style="1" customWidth="1"/>
    <col min="5" max="5" width="13.109375" style="1" customWidth="1"/>
    <col min="6" max="6" width="9.44140625" style="1" bestFit="1" customWidth="1"/>
    <col min="7" max="7" width="9.109375" style="1" bestFit="1" customWidth="1"/>
    <col min="8" max="8" width="9.88671875" style="1" bestFit="1" customWidth="1"/>
    <col min="9" max="9" width="9" style="1"/>
    <col min="10" max="10" width="9.88671875" style="1" customWidth="1"/>
    <col min="11" max="11" width="9" style="1"/>
    <col min="12" max="12" width="11.6640625" style="1" bestFit="1" customWidth="1"/>
    <col min="13" max="16384" width="9" style="1"/>
  </cols>
  <sheetData>
    <row r="2" spans="2:25" x14ac:dyDescent="0.25">
      <c r="B2" s="34" t="s">
        <v>80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96</v>
      </c>
    </row>
    <row r="3" spans="2:25" x14ac:dyDescent="0.25">
      <c r="B3" s="34"/>
      <c r="C3" s="4" t="s">
        <v>95</v>
      </c>
      <c r="D3" s="4" t="s">
        <v>95</v>
      </c>
      <c r="E3" s="4" t="s">
        <v>95</v>
      </c>
      <c r="F3" s="4" t="s">
        <v>95</v>
      </c>
      <c r="G3" s="4" t="s">
        <v>95</v>
      </c>
      <c r="H3" s="4" t="s">
        <v>95</v>
      </c>
      <c r="I3" s="4" t="s">
        <v>97</v>
      </c>
      <c r="N3" s="1" t="s">
        <v>152</v>
      </c>
      <c r="O3" s="1" t="s">
        <v>153</v>
      </c>
      <c r="P3" s="1" t="s">
        <v>154</v>
      </c>
      <c r="Q3" s="1" t="s">
        <v>155</v>
      </c>
    </row>
    <row r="4" spans="2:25" x14ac:dyDescent="0.25">
      <c r="B4" s="4" t="s">
        <v>81</v>
      </c>
      <c r="C4" s="21">
        <v>1063.3827798074026</v>
      </c>
      <c r="D4" s="21">
        <v>1163.6172201925974</v>
      </c>
      <c r="E4" s="21">
        <v>1052.6172201925974</v>
      </c>
      <c r="F4" s="21">
        <v>804.38277980740258</v>
      </c>
      <c r="G4" s="21">
        <v>269.1276681872543</v>
      </c>
      <c r="H4" s="21">
        <v>2573.8723318127459</v>
      </c>
      <c r="I4" s="17">
        <v>83.650437607715588</v>
      </c>
      <c r="J4" s="23"/>
      <c r="N4" s="1">
        <f>SIN(I4*PI()/180)</f>
        <v>0.9938656604563717</v>
      </c>
      <c r="O4" s="1">
        <f>100/N4</f>
        <v>100.6172201925974</v>
      </c>
      <c r="P4" s="1">
        <f>COS(I4*PI()/180)</f>
        <v>0.11059407292264849</v>
      </c>
      <c r="Q4" s="1">
        <f>P4*O4</f>
        <v>11.127668187254297</v>
      </c>
      <c r="S4" s="22"/>
      <c r="T4" s="22"/>
      <c r="U4" s="22"/>
      <c r="V4" s="22"/>
      <c r="W4" s="22"/>
      <c r="X4" s="22"/>
      <c r="Y4" s="22"/>
    </row>
    <row r="5" spans="2:25" x14ac:dyDescent="0.25">
      <c r="B5" s="4" t="s">
        <v>82</v>
      </c>
      <c r="C5" s="21">
        <v>1064.2563216776232</v>
      </c>
      <c r="D5" s="21">
        <v>1170.7436783223768</v>
      </c>
      <c r="E5" s="21">
        <v>1048.7436783223768</v>
      </c>
      <c r="F5" s="21">
        <v>803.25632167762319</v>
      </c>
      <c r="G5" s="21">
        <v>245.21837640288285</v>
      </c>
      <c r="H5" s="21">
        <v>2596.7816235971172</v>
      </c>
      <c r="I5" s="17">
        <v>83.033914328956229</v>
      </c>
      <c r="J5" s="23"/>
      <c r="N5" s="1">
        <f t="shared" ref="N5:N17" si="0">SIN(I5*PI()/180)</f>
        <v>0.99261811426026147</v>
      </c>
      <c r="O5" s="1">
        <f t="shared" ref="O5:O17" si="1">100/N5</f>
        <v>100.74367832237675</v>
      </c>
      <c r="P5" s="1">
        <f t="shared" ref="P5:P17" si="2">COS(I5*PI()/180)</f>
        <v>0.1212818174435165</v>
      </c>
      <c r="Q5" s="1">
        <f t="shared" ref="Q5:Q17" si="3">P5*O5</f>
        <v>12.218376402882848</v>
      </c>
      <c r="S5" s="22"/>
      <c r="T5" s="22"/>
      <c r="U5" s="22"/>
      <c r="V5" s="22"/>
      <c r="W5" s="22"/>
      <c r="X5" s="22"/>
      <c r="Y5" s="22"/>
    </row>
    <row r="6" spans="2:25" x14ac:dyDescent="0.25">
      <c r="B6" s="4" t="s">
        <v>83</v>
      </c>
      <c r="C6" s="21">
        <v>1065.168893088372</v>
      </c>
      <c r="D6" s="21">
        <v>1175.831106911628</v>
      </c>
      <c r="E6" s="21">
        <v>1045.831106911628</v>
      </c>
      <c r="F6" s="21">
        <v>803.1688930883721</v>
      </c>
      <c r="G6" s="21">
        <v>229.91944739623713</v>
      </c>
      <c r="H6" s="21">
        <v>2611.080552603763</v>
      </c>
      <c r="I6" s="17">
        <v>82.638478751481372</v>
      </c>
      <c r="J6" s="23"/>
      <c r="N6" s="1">
        <f t="shared" si="0"/>
        <v>0.99175743540774253</v>
      </c>
      <c r="O6" s="1">
        <f t="shared" si="1"/>
        <v>100.83110691162791</v>
      </c>
      <c r="P6" s="1">
        <f t="shared" si="2"/>
        <v>0.12812958016577375</v>
      </c>
      <c r="Q6" s="1">
        <f t="shared" si="3"/>
        <v>12.919447396237132</v>
      </c>
      <c r="S6" s="22"/>
      <c r="T6" s="22"/>
      <c r="U6" s="22"/>
      <c r="V6" s="22"/>
      <c r="W6" s="22"/>
      <c r="X6" s="22"/>
      <c r="Y6" s="22"/>
    </row>
    <row r="7" spans="2:25" x14ac:dyDescent="0.25">
      <c r="B7" s="4" t="s">
        <v>84</v>
      </c>
      <c r="C7" s="21">
        <v>1066.1092444674282</v>
      </c>
      <c r="D7" s="21">
        <v>1178.8907555325718</v>
      </c>
      <c r="E7" s="21">
        <v>1043.8907555325718</v>
      </c>
      <c r="F7" s="21">
        <v>803.1092444674282</v>
      </c>
      <c r="G7" s="21">
        <v>220.37701580821218</v>
      </c>
      <c r="H7" s="21">
        <v>2619.622984191788</v>
      </c>
      <c r="I7" s="17">
        <v>82.3807669996432</v>
      </c>
      <c r="J7" s="23"/>
      <c r="N7" s="1">
        <f t="shared" si="0"/>
        <v>0.99117108869023995</v>
      </c>
      <c r="O7" s="1">
        <f t="shared" si="1"/>
        <v>100.89075553257176</v>
      </c>
      <c r="P7" s="1">
        <f t="shared" si="2"/>
        <v>0.13258911322052211</v>
      </c>
      <c r="Q7" s="1">
        <f t="shared" si="3"/>
        <v>13.377015808212175</v>
      </c>
      <c r="S7" s="22"/>
      <c r="T7" s="22"/>
      <c r="U7" s="22"/>
      <c r="V7" s="22"/>
      <c r="W7" s="22"/>
      <c r="X7" s="22"/>
      <c r="Y7" s="22"/>
    </row>
    <row r="8" spans="2:25" x14ac:dyDescent="0.25">
      <c r="B8" s="4" t="s">
        <v>85</v>
      </c>
      <c r="C8" s="21">
        <v>1066.0705695484453</v>
      </c>
      <c r="D8" s="21">
        <v>1179.9294304515547</v>
      </c>
      <c r="E8" s="21">
        <v>1043.9294304515547</v>
      </c>
      <c r="F8" s="21">
        <v>803.07056954844518</v>
      </c>
      <c r="G8" s="21">
        <v>213.66564785420863</v>
      </c>
      <c r="H8" s="21">
        <v>2626.3343521457914</v>
      </c>
      <c r="I8" s="17">
        <v>82.218362310319591</v>
      </c>
      <c r="J8" s="23"/>
      <c r="N8" s="1">
        <f t="shared" si="0"/>
        <v>0.99079128409427697</v>
      </c>
      <c r="O8" s="1">
        <f t="shared" si="1"/>
        <v>100.92943045155479</v>
      </c>
      <c r="P8" s="1">
        <f t="shared" si="2"/>
        <v>0.13539804785451567</v>
      </c>
      <c r="Q8" s="1">
        <f t="shared" si="3"/>
        <v>13.665647854208627</v>
      </c>
      <c r="S8" s="22"/>
      <c r="T8" s="22"/>
      <c r="U8" s="22"/>
      <c r="V8" s="22"/>
      <c r="W8" s="22"/>
      <c r="X8" s="22"/>
      <c r="Y8" s="22"/>
    </row>
    <row r="9" spans="2:25" x14ac:dyDescent="0.25">
      <c r="B9" s="4" t="s">
        <v>86</v>
      </c>
      <c r="C9" s="21">
        <v>1067.0488645329503</v>
      </c>
      <c r="D9" s="21">
        <v>1181.9511354670497</v>
      </c>
      <c r="E9" s="21">
        <v>1042.9511354670497</v>
      </c>
      <c r="F9" s="21">
        <v>803.04886453295035</v>
      </c>
      <c r="G9" s="21">
        <v>210.82504076256558</v>
      </c>
      <c r="H9" s="21">
        <v>2629.1749592374345</v>
      </c>
      <c r="I9" s="17">
        <v>82.128730374957939</v>
      </c>
      <c r="J9" s="23"/>
      <c r="K9" s="5"/>
      <c r="N9" s="1">
        <f t="shared" si="0"/>
        <v>0.990578258851184</v>
      </c>
      <c r="O9" s="1">
        <f t="shared" si="1"/>
        <v>100.9511354670496</v>
      </c>
      <c r="P9" s="1">
        <f t="shared" si="2"/>
        <v>0.13694784807128846</v>
      </c>
      <c r="Q9" s="1">
        <f t="shared" si="3"/>
        <v>13.825040762565568</v>
      </c>
      <c r="S9" s="22"/>
      <c r="T9" s="22"/>
      <c r="U9" s="22"/>
      <c r="V9" s="22"/>
      <c r="W9" s="22"/>
      <c r="X9" s="22"/>
      <c r="Y9" s="22"/>
    </row>
    <row r="10" spans="2:25" x14ac:dyDescent="0.25">
      <c r="B10" s="4" t="s">
        <v>87</v>
      </c>
      <c r="C10" s="21">
        <v>1067.0419793789292</v>
      </c>
      <c r="D10" s="21">
        <v>1181.9580206210708</v>
      </c>
      <c r="E10" s="21">
        <v>1042.9580206210708</v>
      </c>
      <c r="F10" s="21">
        <v>803.04197937892911</v>
      </c>
      <c r="G10" s="21">
        <v>209.87522712335078</v>
      </c>
      <c r="H10" s="21">
        <v>2630.1247728766493</v>
      </c>
      <c r="I10" s="17">
        <v>82.100516916956991</v>
      </c>
      <c r="J10" s="23"/>
      <c r="K10" s="5"/>
      <c r="N10" s="1">
        <f t="shared" si="0"/>
        <v>0.99051070320934054</v>
      </c>
      <c r="O10" s="1">
        <f t="shared" si="1"/>
        <v>100.95802062107086</v>
      </c>
      <c r="P10" s="1">
        <f t="shared" si="2"/>
        <v>0.13743560975139502</v>
      </c>
      <c r="Q10" s="1">
        <f t="shared" si="3"/>
        <v>13.875227123350784</v>
      </c>
      <c r="S10" s="22"/>
      <c r="T10" s="22"/>
      <c r="U10" s="22"/>
      <c r="V10" s="22"/>
      <c r="W10" s="22"/>
      <c r="X10" s="22"/>
      <c r="Y10" s="22"/>
    </row>
    <row r="11" spans="2:25" x14ac:dyDescent="0.25">
      <c r="B11" s="4" t="s">
        <v>88</v>
      </c>
      <c r="C11" s="21">
        <v>1067.0530511632646</v>
      </c>
      <c r="D11" s="21">
        <v>1180.9469488367354</v>
      </c>
      <c r="E11" s="21">
        <v>1042.9469488367354</v>
      </c>
      <c r="F11" s="21">
        <v>803.05305116326474</v>
      </c>
      <c r="G11" s="21">
        <v>210.79443653965063</v>
      </c>
      <c r="H11" s="21">
        <v>2628.2055634603494</v>
      </c>
      <c r="I11" s="17">
        <v>82.145937154351302</v>
      </c>
      <c r="J11" s="23"/>
      <c r="K11" s="5"/>
      <c r="N11" s="1">
        <f t="shared" si="0"/>
        <v>0.99061934166760401</v>
      </c>
      <c r="O11" s="1">
        <f t="shared" si="1"/>
        <v>100.94694883673527</v>
      </c>
      <c r="P11" s="1">
        <f t="shared" si="2"/>
        <v>0.13665035643584261</v>
      </c>
      <c r="Q11" s="1">
        <f t="shared" si="3"/>
        <v>13.794436539650643</v>
      </c>
      <c r="S11" s="22"/>
      <c r="T11" s="22"/>
      <c r="U11" s="22"/>
      <c r="V11" s="22"/>
      <c r="W11" s="22"/>
      <c r="X11" s="22"/>
      <c r="Y11" s="22"/>
    </row>
    <row r="12" spans="2:25" x14ac:dyDescent="0.25">
      <c r="B12" s="4" t="s">
        <v>89</v>
      </c>
      <c r="C12" s="21">
        <v>1066.078977390815</v>
      </c>
      <c r="D12" s="21">
        <v>1179.921022609185</v>
      </c>
      <c r="E12" s="21">
        <v>1043.921022609185</v>
      </c>
      <c r="F12" s="21">
        <v>803.078977390815</v>
      </c>
      <c r="G12" s="21">
        <v>215.60341150166474</v>
      </c>
      <c r="H12" s="21">
        <v>2624.3965884983354</v>
      </c>
      <c r="I12" s="17">
        <v>82.253370312444432</v>
      </c>
      <c r="J12" s="23"/>
      <c r="K12" s="5"/>
      <c r="N12" s="1">
        <f t="shared" si="0"/>
        <v>0.99087382801548085</v>
      </c>
      <c r="O12" s="1">
        <f t="shared" si="1"/>
        <v>100.92102260918497</v>
      </c>
      <c r="P12" s="1">
        <f t="shared" si="2"/>
        <v>0.13479264428724358</v>
      </c>
      <c r="Q12" s="1">
        <f t="shared" si="3"/>
        <v>13.603411501664738</v>
      </c>
      <c r="S12" s="22"/>
      <c r="T12" s="22"/>
      <c r="U12" s="22"/>
      <c r="V12" s="22"/>
      <c r="W12" s="22"/>
      <c r="X12" s="22"/>
      <c r="Y12" s="22"/>
    </row>
    <row r="13" spans="2:25" x14ac:dyDescent="0.25">
      <c r="B13" s="4" t="s">
        <v>90</v>
      </c>
      <c r="C13" s="21">
        <v>1066.1219109617018</v>
      </c>
      <c r="D13" s="21">
        <v>1177.8780890382982</v>
      </c>
      <c r="E13" s="21">
        <v>1044.8780890382982</v>
      </c>
      <c r="F13" s="21">
        <v>803.12191096170181</v>
      </c>
      <c r="G13" s="21">
        <v>222.28114633677478</v>
      </c>
      <c r="H13" s="21">
        <v>2617.7188536632252</v>
      </c>
      <c r="I13" s="17">
        <v>82.434737296716492</v>
      </c>
      <c r="J13" s="23"/>
      <c r="K13" s="5"/>
      <c r="N13" s="1">
        <f t="shared" si="0"/>
        <v>0.99129554250413221</v>
      </c>
      <c r="O13" s="1">
        <f t="shared" si="1"/>
        <v>100.87808903829823</v>
      </c>
      <c r="P13" s="1">
        <f t="shared" si="2"/>
        <v>0.1316554116298993</v>
      </c>
      <c r="Q13" s="1">
        <f t="shared" si="3"/>
        <v>13.281146336774786</v>
      </c>
      <c r="S13" s="22"/>
      <c r="T13" s="22"/>
      <c r="U13" s="22"/>
      <c r="V13" s="22"/>
      <c r="W13" s="22"/>
      <c r="X13" s="22"/>
      <c r="Y13" s="22"/>
    </row>
    <row r="14" spans="2:25" x14ac:dyDescent="0.25">
      <c r="B14" s="4" t="s">
        <v>91</v>
      </c>
      <c r="C14" s="21">
        <v>1065.1857825991697</v>
      </c>
      <c r="D14" s="21">
        <v>1174.8142174008303</v>
      </c>
      <c r="E14" s="21">
        <v>1046.8142174008303</v>
      </c>
      <c r="F14" s="21">
        <v>802.18578259916978</v>
      </c>
      <c r="G14" s="21">
        <v>232.78696328851629</v>
      </c>
      <c r="H14" s="21">
        <v>2608.2130367114837</v>
      </c>
      <c r="I14" s="17">
        <v>82.713152890248679</v>
      </c>
      <c r="J14" s="23"/>
      <c r="K14" s="5"/>
      <c r="N14" s="1">
        <f t="shared" si="0"/>
        <v>0.99192358556340354</v>
      </c>
      <c r="O14" s="1">
        <f t="shared" si="1"/>
        <v>100.81421740083024</v>
      </c>
      <c r="P14" s="1">
        <f t="shared" si="2"/>
        <v>0.12683690473612699</v>
      </c>
      <c r="Q14" s="1">
        <f t="shared" si="3"/>
        <v>12.786963288516302</v>
      </c>
      <c r="S14" s="22"/>
      <c r="T14" s="22"/>
      <c r="U14" s="22"/>
      <c r="V14" s="22"/>
      <c r="W14" s="22"/>
      <c r="X14" s="22"/>
      <c r="Y14" s="22"/>
    </row>
    <row r="15" spans="2:25" x14ac:dyDescent="0.25">
      <c r="B15" s="4" t="s">
        <v>92</v>
      </c>
      <c r="C15" s="21">
        <v>1064.2771328967813</v>
      </c>
      <c r="D15" s="21">
        <v>1169.7228671032187</v>
      </c>
      <c r="E15" s="21">
        <v>1048.7228671032187</v>
      </c>
      <c r="F15" s="21">
        <v>803.27713289678127</v>
      </c>
      <c r="G15" s="21">
        <v>249.04557833782485</v>
      </c>
      <c r="H15" s="21">
        <v>2592.9544216621753</v>
      </c>
      <c r="I15" s="17">
        <v>83.13148422317775</v>
      </c>
      <c r="J15" s="23"/>
      <c r="K15" s="5"/>
      <c r="N15" s="1">
        <f t="shared" si="0"/>
        <v>0.99282320763885712</v>
      </c>
      <c r="O15" s="1">
        <f t="shared" si="1"/>
        <v>100.72286710321879</v>
      </c>
      <c r="P15" s="1">
        <f t="shared" si="2"/>
        <v>0.11959129723224386</v>
      </c>
      <c r="Q15" s="1">
        <f t="shared" si="3"/>
        <v>12.045578337824836</v>
      </c>
      <c r="S15" s="22"/>
      <c r="T15" s="22"/>
      <c r="U15" s="22"/>
      <c r="V15" s="22"/>
      <c r="W15" s="22"/>
      <c r="X15" s="22"/>
      <c r="Y15" s="22"/>
    </row>
    <row r="16" spans="2:25" x14ac:dyDescent="0.25">
      <c r="B16" s="4" t="s">
        <v>93</v>
      </c>
      <c r="C16" s="21">
        <v>1063.4064449725847</v>
      </c>
      <c r="D16" s="21">
        <v>1162.5935550274153</v>
      </c>
      <c r="E16" s="21">
        <v>1053.5935550274153</v>
      </c>
      <c r="F16" s="21">
        <v>804.40644497258461</v>
      </c>
      <c r="G16" s="21">
        <v>273.91161367780438</v>
      </c>
      <c r="H16" s="21">
        <v>2569.0883863221957</v>
      </c>
      <c r="I16" s="17">
        <v>83.772742499080849</v>
      </c>
      <c r="J16" s="23"/>
      <c r="K16" s="5"/>
      <c r="N16" s="1">
        <f t="shared" si="0"/>
        <v>0.99409947260285592</v>
      </c>
      <c r="O16" s="1">
        <f t="shared" si="1"/>
        <v>100.59355502741539</v>
      </c>
      <c r="P16" s="1">
        <f t="shared" si="2"/>
        <v>0.10847229402351438</v>
      </c>
      <c r="Q16" s="1">
        <f t="shared" si="3"/>
        <v>10.911613677804375</v>
      </c>
      <c r="S16" s="22"/>
      <c r="T16" s="22"/>
      <c r="U16" s="22"/>
      <c r="V16" s="22"/>
      <c r="W16" s="22"/>
      <c r="X16" s="22"/>
      <c r="Y16" s="22"/>
    </row>
    <row r="17" spans="2:25" x14ac:dyDescent="0.25">
      <c r="B17" s="4" t="s">
        <v>94</v>
      </c>
      <c r="C17" s="21">
        <v>1061.5891300968003</v>
      </c>
      <c r="D17" s="21">
        <v>1150.4108699031997</v>
      </c>
      <c r="E17" s="21">
        <v>1060.4108699031997</v>
      </c>
      <c r="F17" s="21">
        <v>805.58913009680032</v>
      </c>
      <c r="G17" s="21">
        <v>313.07429306983744</v>
      </c>
      <c r="H17" s="21">
        <v>2531.9257069301625</v>
      </c>
      <c r="I17" s="17">
        <v>84.815013477367259</v>
      </c>
      <c r="J17" s="23"/>
      <c r="K17" s="5"/>
      <c r="N17" s="1">
        <f t="shared" si="0"/>
        <v>0.99590811329893048</v>
      </c>
      <c r="O17" s="1">
        <f t="shared" si="1"/>
        <v>100.41086990319972</v>
      </c>
      <c r="P17" s="1">
        <f t="shared" si="2"/>
        <v>9.0371620907033434E-2</v>
      </c>
      <c r="Q17" s="1">
        <f t="shared" si="3"/>
        <v>9.0742930698374185</v>
      </c>
      <c r="S17" s="22"/>
      <c r="T17" s="22"/>
      <c r="U17" s="22"/>
      <c r="V17" s="22"/>
      <c r="W17" s="22"/>
      <c r="X17" s="22"/>
      <c r="Y17" s="22"/>
    </row>
    <row r="28" spans="2:25" ht="13.5" customHeight="1" x14ac:dyDescent="0.25"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I28" s="1" t="s">
        <v>6</v>
      </c>
      <c r="J28" s="1" t="s">
        <v>7</v>
      </c>
      <c r="K28" s="1" t="s">
        <v>8</v>
      </c>
      <c r="L28" s="1" t="s">
        <v>9</v>
      </c>
      <c r="M28" s="36" t="s">
        <v>25</v>
      </c>
      <c r="N28" s="36"/>
    </row>
    <row r="29" spans="2:25" x14ac:dyDescent="0.25">
      <c r="B29" s="2" t="s">
        <v>11</v>
      </c>
      <c r="C29" s="2" t="str">
        <f t="shared" ref="C29:C43" si="4">CONCATENATE("□",I29,"×",J29,"×",K29)</f>
        <v>□18000×16×40000</v>
      </c>
      <c r="D29" s="2">
        <v>1</v>
      </c>
      <c r="E29" s="3">
        <f t="shared" ref="E29:E43" si="5">IF(L29&gt;0,(L29*J29/1000000000*7850),(I29*J29*K29/1000000000*7850))</f>
        <v>90432</v>
      </c>
      <c r="F29" s="3">
        <f t="shared" ref="F29:F44" si="6">D29*E29</f>
        <v>90432</v>
      </c>
      <c r="I29" s="1">
        <v>18000</v>
      </c>
      <c r="J29" s="1">
        <v>16</v>
      </c>
      <c r="K29" s="5">
        <v>40000</v>
      </c>
      <c r="M29" s="6">
        <f>IF(L29&gt;0,(L29*2/1000000),(I29*K29*2/1000000))</f>
        <v>1440</v>
      </c>
      <c r="N29" s="5">
        <f t="shared" ref="N29:N72" si="7">D29*M29</f>
        <v>1440</v>
      </c>
      <c r="P29" s="5"/>
    </row>
    <row r="30" spans="2:25" x14ac:dyDescent="0.25">
      <c r="B30" s="4" t="s">
        <v>14</v>
      </c>
      <c r="C30" s="2" t="str">
        <f>CONCATENATE("□",I30,"×",J30,"×",K30)</f>
        <v>□460×24×18000</v>
      </c>
      <c r="D30" s="2">
        <v>2</v>
      </c>
      <c r="E30" s="3">
        <f>IF(L30&gt;0,(L30*J30/1000000000*7850),(I30*J30*K30/1000000000*7850))</f>
        <v>1559.952</v>
      </c>
      <c r="F30" s="3">
        <f>D30*E30</f>
        <v>3119.904</v>
      </c>
      <c r="I30" s="1">
        <v>460</v>
      </c>
      <c r="J30" s="1">
        <v>24</v>
      </c>
      <c r="K30" s="5">
        <v>18000</v>
      </c>
      <c r="M30" s="6">
        <f>IF(L30&gt;0,(L30*2/1000000),(I30*K30*2/1000000))</f>
        <v>16.559999999999999</v>
      </c>
      <c r="N30" s="5">
        <f t="shared" si="7"/>
        <v>33.119999999999997</v>
      </c>
      <c r="P30" s="5"/>
    </row>
    <row r="31" spans="2:25" x14ac:dyDescent="0.25">
      <c r="B31" s="4" t="s">
        <v>32</v>
      </c>
      <c r="C31" s="2" t="str">
        <f>CONCATENATE("□",I31,"×",J31,"×",K31)</f>
        <v>□140×12×18000</v>
      </c>
      <c r="D31" s="2">
        <f>(9+9+1)*2</f>
        <v>38</v>
      </c>
      <c r="E31" s="3">
        <f>IF(L31&gt;0,(L31*J31/1000000000*7850),(I31*J31*K31/1000000000*7850))</f>
        <v>237.38399999999999</v>
      </c>
      <c r="F31" s="3">
        <f>D31*E31</f>
        <v>9020.5919999999987</v>
      </c>
      <c r="I31" s="1">
        <v>140</v>
      </c>
      <c r="J31" s="1">
        <v>12</v>
      </c>
      <c r="K31" s="5">
        <v>18000</v>
      </c>
      <c r="M31" s="6">
        <f>IF(L31&gt;0,(L31*2/1000000),(I31*K31*2/1000000))</f>
        <v>5.04</v>
      </c>
      <c r="N31" s="5">
        <f t="shared" si="7"/>
        <v>191.52</v>
      </c>
      <c r="P31" s="5"/>
    </row>
    <row r="32" spans="2:25" x14ac:dyDescent="0.25">
      <c r="B32" s="11" t="s">
        <v>31</v>
      </c>
      <c r="C32" s="12" t="str">
        <f>CONCATENATE("U",I32,"×",J32,"×",K32)</f>
        <v>U300×8×18000</v>
      </c>
      <c r="D32" s="12">
        <v>40</v>
      </c>
      <c r="E32" s="13">
        <f>L32*I32/1000000000*7850</f>
        <v>13.425314292000001</v>
      </c>
      <c r="F32" s="13">
        <f>D32*E32</f>
        <v>537.01257168000006</v>
      </c>
      <c r="I32" s="1">
        <v>300</v>
      </c>
      <c r="J32" s="1">
        <v>8</v>
      </c>
      <c r="K32" s="5">
        <v>18000</v>
      </c>
      <c r="L32" s="1">
        <v>5700.7704000000003</v>
      </c>
      <c r="M32" s="10">
        <f>1441.6181*I32/1000000</f>
        <v>0.43248543</v>
      </c>
      <c r="N32" s="5">
        <f t="shared" si="7"/>
        <v>17.299417200000001</v>
      </c>
      <c r="P32" s="5"/>
    </row>
    <row r="33" spans="2:16" x14ac:dyDescent="0.25">
      <c r="B33" s="2" t="s">
        <v>10</v>
      </c>
      <c r="C33" s="2" t="str">
        <f t="shared" si="4"/>
        <v>□500×16×19518</v>
      </c>
      <c r="D33" s="2">
        <v>6</v>
      </c>
      <c r="E33" s="3">
        <f t="shared" si="5"/>
        <v>1225.7304000000001</v>
      </c>
      <c r="F33" s="3">
        <f t="shared" si="6"/>
        <v>7354.3824000000004</v>
      </c>
      <c r="I33" s="1">
        <v>500</v>
      </c>
      <c r="J33" s="1">
        <v>16</v>
      </c>
      <c r="K33" s="5">
        <f>9759*2</f>
        <v>19518</v>
      </c>
      <c r="M33" s="6">
        <f t="shared" ref="M33:M54" si="8">IF(L33&gt;0,(L33*2/1000000),(I33*K33*2/1000000))</f>
        <v>19.518000000000001</v>
      </c>
      <c r="N33" s="5">
        <f t="shared" si="7"/>
        <v>117.108</v>
      </c>
      <c r="P33" s="5"/>
    </row>
    <row r="34" spans="2:16" x14ac:dyDescent="0.25">
      <c r="B34" s="2" t="s">
        <v>30</v>
      </c>
      <c r="C34" s="2" t="str">
        <f>CONCATENATE("□",I34,"×",J34,"×",K34)</f>
        <v>□3990×28×18000</v>
      </c>
      <c r="D34" s="2">
        <v>2</v>
      </c>
      <c r="E34" s="3">
        <f>IF(L34&gt;0,(L34*J34/1000000000*7850),(I34*J34*K34/1000000000*7850))</f>
        <v>15786.035999999998</v>
      </c>
      <c r="F34" s="3">
        <f>D34*E34</f>
        <v>31572.071999999996</v>
      </c>
      <c r="I34" s="1">
        <v>3990</v>
      </c>
      <c r="J34" s="1">
        <v>28</v>
      </c>
      <c r="K34" s="5">
        <v>18000</v>
      </c>
      <c r="M34" s="6">
        <f>IF(L34&gt;0,(L34*2/1000000),(I34*K34*2/1000000))</f>
        <v>143.63999999999999</v>
      </c>
      <c r="N34" s="5">
        <f t="shared" si="7"/>
        <v>287.27999999999997</v>
      </c>
      <c r="P34" s="5"/>
    </row>
    <row r="35" spans="2:16" x14ac:dyDescent="0.25">
      <c r="B35" s="2" t="s">
        <v>37</v>
      </c>
      <c r="C35" s="2" t="str">
        <f>CONCATENATE("□",I35,"×",J35,"×",K35)</f>
        <v>□380×16×4828</v>
      </c>
      <c r="D35" s="2">
        <v>12</v>
      </c>
      <c r="E35" s="3">
        <f>IF(L35&gt;0,(L35*J35/1000000000*7850),(I35*J35*K35/1000000000*7850))</f>
        <v>230.43078399999999</v>
      </c>
      <c r="F35" s="3">
        <f>D35*E35</f>
        <v>2765.1694079999997</v>
      </c>
      <c r="I35" s="1">
        <v>380</v>
      </c>
      <c r="J35" s="1">
        <v>16</v>
      </c>
      <c r="K35" s="5">
        <v>4828</v>
      </c>
      <c r="M35" s="6">
        <f>IF(L35&gt;0,(L35*2/1000000),(I35*K35*2/1000000))</f>
        <v>3.6692800000000001</v>
      </c>
      <c r="N35" s="5">
        <f t="shared" si="7"/>
        <v>44.031359999999999</v>
      </c>
      <c r="P35" s="5"/>
    </row>
    <row r="36" spans="2:16" x14ac:dyDescent="0.25">
      <c r="B36" s="2" t="s">
        <v>15</v>
      </c>
      <c r="C36" s="2" t="str">
        <f>CONCATENATE("□",I36,"×",J36,"×",K36)</f>
        <v>□140×12×18000</v>
      </c>
      <c r="D36" s="2">
        <v>14</v>
      </c>
      <c r="E36" s="3">
        <f>IF(L36&gt;0,(L36*J36/1000000000*7850),(I36*J36*K36/1000000000*7850))</f>
        <v>237.38399999999999</v>
      </c>
      <c r="F36" s="3">
        <f>D36*E36</f>
        <v>3323.3759999999997</v>
      </c>
      <c r="I36" s="1">
        <v>140</v>
      </c>
      <c r="J36" s="1">
        <v>12</v>
      </c>
      <c r="K36" s="5">
        <v>18000</v>
      </c>
      <c r="M36" s="6">
        <f>IF(L36&gt;0,(L36*2/1000000),(I36*K36*2/1000000))</f>
        <v>5.04</v>
      </c>
      <c r="N36" s="5">
        <f t="shared" si="7"/>
        <v>70.56</v>
      </c>
      <c r="P36" s="5"/>
    </row>
    <row r="37" spans="2:16" x14ac:dyDescent="0.25">
      <c r="B37" s="4" t="s">
        <v>12</v>
      </c>
      <c r="C37" s="2" t="str">
        <f t="shared" si="4"/>
        <v>□2991×14×18000</v>
      </c>
      <c r="D37" s="2">
        <v>2</v>
      </c>
      <c r="E37" s="3">
        <f t="shared" si="5"/>
        <v>5916.7961999999998</v>
      </c>
      <c r="F37" s="3">
        <f t="shared" si="6"/>
        <v>11833.5924</v>
      </c>
      <c r="I37" s="1">
        <v>2991</v>
      </c>
      <c r="J37" s="1">
        <v>14</v>
      </c>
      <c r="K37" s="5">
        <v>18000</v>
      </c>
      <c r="M37" s="6">
        <f t="shared" si="8"/>
        <v>107.676</v>
      </c>
      <c r="N37" s="5">
        <f t="shared" si="7"/>
        <v>215.352</v>
      </c>
      <c r="P37" s="5"/>
    </row>
    <row r="38" spans="2:16" x14ac:dyDescent="0.25">
      <c r="B38" s="4" t="s">
        <v>13</v>
      </c>
      <c r="C38" s="2" t="str">
        <f t="shared" si="4"/>
        <v>□2283×14×18000</v>
      </c>
      <c r="D38" s="2">
        <v>2</v>
      </c>
      <c r="E38" s="3">
        <f t="shared" si="5"/>
        <v>4516.2306000000008</v>
      </c>
      <c r="F38" s="3">
        <f t="shared" si="6"/>
        <v>9032.4612000000016</v>
      </c>
      <c r="I38" s="1">
        <v>2283</v>
      </c>
      <c r="J38" s="1">
        <v>14</v>
      </c>
      <c r="K38" s="5">
        <v>18000</v>
      </c>
      <c r="M38" s="6">
        <f t="shared" si="8"/>
        <v>82.188000000000002</v>
      </c>
      <c r="N38" s="5">
        <f t="shared" si="7"/>
        <v>164.376</v>
      </c>
      <c r="P38" s="5"/>
    </row>
    <row r="39" spans="2:16" x14ac:dyDescent="0.25">
      <c r="B39" s="4" t="s">
        <v>16</v>
      </c>
      <c r="C39" s="2" t="str">
        <f t="shared" si="4"/>
        <v>□140×12×18000</v>
      </c>
      <c r="D39" s="2">
        <v>18</v>
      </c>
      <c r="E39" s="3">
        <f t="shared" si="5"/>
        <v>237.38399999999999</v>
      </c>
      <c r="F39" s="3">
        <f t="shared" si="6"/>
        <v>4272.9119999999994</v>
      </c>
      <c r="I39" s="1">
        <v>140</v>
      </c>
      <c r="J39" s="1">
        <v>12</v>
      </c>
      <c r="K39" s="5">
        <v>18000</v>
      </c>
      <c r="M39" s="6">
        <f t="shared" si="8"/>
        <v>5.04</v>
      </c>
      <c r="N39" s="5">
        <f t="shared" si="7"/>
        <v>90.72</v>
      </c>
      <c r="P39" s="5"/>
    </row>
    <row r="40" spans="2:16" x14ac:dyDescent="0.25">
      <c r="B40" s="4" t="s">
        <v>33</v>
      </c>
      <c r="C40" s="2" t="str">
        <f t="shared" si="4"/>
        <v>□234×16×450</v>
      </c>
      <c r="D40" s="2">
        <v>16</v>
      </c>
      <c r="E40" s="3">
        <f t="shared" si="5"/>
        <v>13.225680000000001</v>
      </c>
      <c r="F40" s="3">
        <f t="shared" si="6"/>
        <v>211.61088000000001</v>
      </c>
      <c r="I40" s="1">
        <v>234</v>
      </c>
      <c r="J40" s="1">
        <v>16</v>
      </c>
      <c r="K40" s="5">
        <v>450</v>
      </c>
      <c r="M40" s="6">
        <f t="shared" si="8"/>
        <v>0.21060000000000001</v>
      </c>
      <c r="N40" s="5">
        <f t="shared" si="7"/>
        <v>3.3696000000000002</v>
      </c>
      <c r="P40" s="5"/>
    </row>
    <row r="41" spans="2:16" x14ac:dyDescent="0.25">
      <c r="B41" s="4" t="s">
        <v>34</v>
      </c>
      <c r="C41" s="2" t="str">
        <f>CONCATENATE("□",I41,"×",J41,"×",K41)</f>
        <v>□226×16×450</v>
      </c>
      <c r="D41" s="2">
        <v>8</v>
      </c>
      <c r="E41" s="3">
        <f>IF(L41&gt;0,(L41*J41/1000000000*7850),(I41*J41*K41/1000000000*7850))</f>
        <v>12.773520000000001</v>
      </c>
      <c r="F41" s="3">
        <f>D41*E41</f>
        <v>102.18816000000001</v>
      </c>
      <c r="I41" s="1">
        <v>226</v>
      </c>
      <c r="J41" s="1">
        <v>16</v>
      </c>
      <c r="K41" s="5">
        <v>450</v>
      </c>
      <c r="M41" s="6">
        <f>IF(L41&gt;0,(L41*2/1000000),(I41*K41*2/1000000))</f>
        <v>0.2034</v>
      </c>
      <c r="N41" s="5">
        <f t="shared" si="7"/>
        <v>1.6272</v>
      </c>
      <c r="P41" s="5"/>
    </row>
    <row r="42" spans="2:16" x14ac:dyDescent="0.25">
      <c r="B42" s="4" t="s">
        <v>17</v>
      </c>
      <c r="C42" s="2" t="str">
        <f t="shared" si="4"/>
        <v>□2384×12×19864</v>
      </c>
      <c r="D42" s="2">
        <v>6</v>
      </c>
      <c r="E42" s="3">
        <f t="shared" si="5"/>
        <v>4011.95675345376</v>
      </c>
      <c r="F42" s="3">
        <f t="shared" si="6"/>
        <v>24071.74052072256</v>
      </c>
      <c r="I42" s="1">
        <v>2384</v>
      </c>
      <c r="J42" s="1">
        <v>12</v>
      </c>
      <c r="K42" s="5">
        <v>19864</v>
      </c>
      <c r="L42" s="1">
        <f>2*21294887.2264</f>
        <v>42589774.452799998</v>
      </c>
      <c r="M42" s="6">
        <f t="shared" si="8"/>
        <v>85.179548905600001</v>
      </c>
      <c r="N42" s="5">
        <f t="shared" si="7"/>
        <v>511.0772934336</v>
      </c>
      <c r="P42" s="5"/>
    </row>
    <row r="43" spans="2:16" x14ac:dyDescent="0.25">
      <c r="B43" s="4" t="s">
        <v>18</v>
      </c>
      <c r="C43" s="2" t="str">
        <f t="shared" si="4"/>
        <v>□2241×12×6336</v>
      </c>
      <c r="D43" s="2">
        <v>8</v>
      </c>
      <c r="E43" s="3">
        <f t="shared" si="5"/>
        <v>912.42916639038003</v>
      </c>
      <c r="F43" s="3">
        <f t="shared" si="6"/>
        <v>7299.4333311230403</v>
      </c>
      <c r="I43" s="1">
        <v>2241</v>
      </c>
      <c r="J43" s="1">
        <v>12</v>
      </c>
      <c r="K43" s="5">
        <v>6336</v>
      </c>
      <c r="L43" s="1">
        <v>9686084.5689000003</v>
      </c>
      <c r="M43" s="6">
        <f t="shared" si="8"/>
        <v>19.3721691378</v>
      </c>
      <c r="N43" s="5">
        <f t="shared" si="7"/>
        <v>154.9773531024</v>
      </c>
      <c r="P43" s="5"/>
    </row>
    <row r="44" spans="2:16" x14ac:dyDescent="0.25">
      <c r="B44" s="4" t="s">
        <v>19</v>
      </c>
      <c r="C44" s="15" t="str">
        <f>CONCATENATE("□",I44,"×",J44,"×",K44,"(平均)")</f>
        <v>□2283×28×3139(平均)</v>
      </c>
      <c r="D44" s="2">
        <v>4</v>
      </c>
      <c r="E44" s="16">
        <f>IF(L44&gt;0,(L44*J44/1000000000*7850),(I44*J44*K44/1000000000*7850))</f>
        <v>1321.0958855122001</v>
      </c>
      <c r="F44" s="3">
        <f t="shared" si="6"/>
        <v>5284.3835420488003</v>
      </c>
      <c r="I44" s="1">
        <v>2283</v>
      </c>
      <c r="J44" s="1">
        <v>28</v>
      </c>
      <c r="K44" s="5">
        <v>3139</v>
      </c>
      <c r="L44" s="1">
        <v>6010445.3389999997</v>
      </c>
      <c r="M44" s="6">
        <f t="shared" si="8"/>
        <v>12.020890677999999</v>
      </c>
      <c r="N44" s="5">
        <f t="shared" si="7"/>
        <v>48.083562711999996</v>
      </c>
      <c r="P44" s="5"/>
    </row>
    <row r="45" spans="2:16" x14ac:dyDescent="0.25">
      <c r="B45" s="4" t="s">
        <v>43</v>
      </c>
      <c r="C45" s="15" t="str">
        <f>CONCATENATE("□",I45,"×",J45,"×",K45,"(平均)")</f>
        <v>□2189×28×2889(平均)</v>
      </c>
      <c r="D45" s="2">
        <v>4</v>
      </c>
      <c r="E45" s="16">
        <f>IF(L45&gt;0,(L45*J45/1000000000*7850),(I45*J45*K45/1000000000*7850))</f>
        <v>705.59953793587999</v>
      </c>
      <c r="F45" s="3">
        <f>D45*E45</f>
        <v>2822.39815174352</v>
      </c>
      <c r="I45" s="1">
        <v>2189</v>
      </c>
      <c r="J45" s="1">
        <v>28</v>
      </c>
      <c r="K45" s="5">
        <v>2889</v>
      </c>
      <c r="L45" s="1">
        <v>3210188.9805999999</v>
      </c>
      <c r="M45" s="6">
        <f>IF(L45&gt;0,(L45*2/1000000),(I45*K45*2/1000000))</f>
        <v>6.4203779611999998</v>
      </c>
      <c r="N45" s="5">
        <f t="shared" si="7"/>
        <v>25.681511844799999</v>
      </c>
      <c r="P45" s="5"/>
    </row>
    <row r="46" spans="2:16" x14ac:dyDescent="0.25">
      <c r="B46" s="4" t="s">
        <v>27</v>
      </c>
      <c r="C46" s="2" t="str">
        <f>CONCATENATE("□",I46,"×",J46,"×",K46)</f>
        <v>□789×12×4820</v>
      </c>
      <c r="D46" s="2">
        <v>12</v>
      </c>
      <c r="E46" s="3">
        <f>IF(L46&gt;0,(L46*J46/1000000000*7850),(I46*J46*K46/1000000000*7850))</f>
        <v>230.03078197793999</v>
      </c>
      <c r="F46" s="3">
        <f>D46*E46</f>
        <v>2760.3693837352798</v>
      </c>
      <c r="I46" s="1">
        <v>789</v>
      </c>
      <c r="J46" s="1">
        <v>12</v>
      </c>
      <c r="K46" s="5">
        <v>4820</v>
      </c>
      <c r="L46" s="1">
        <v>2441940.3607000001</v>
      </c>
      <c r="M46" s="6">
        <f>IF(L46&gt;0,(L46*2/1000000),(I46*K46*2/1000000))</f>
        <v>4.8838807213999997</v>
      </c>
      <c r="N46" s="5">
        <f t="shared" si="7"/>
        <v>58.606568656799993</v>
      </c>
      <c r="P46" s="5"/>
    </row>
    <row r="47" spans="2:16" x14ac:dyDescent="0.25">
      <c r="B47" s="4" t="s">
        <v>20</v>
      </c>
      <c r="C47" s="2" t="str">
        <f>CONCATENATE("□",I47,"×",J47,"×",K47)</f>
        <v>□140×12×19180</v>
      </c>
      <c r="D47" s="2">
        <v>12</v>
      </c>
      <c r="E47" s="3">
        <f>IF(L47&gt;0,(L47*J47/1000000000*7850),(I47*J47*K47/1000000000*7850))</f>
        <v>252.94583999999998</v>
      </c>
      <c r="F47" s="3">
        <f>D47*E47</f>
        <v>3035.3500799999997</v>
      </c>
      <c r="I47" s="1">
        <v>140</v>
      </c>
      <c r="J47" s="1">
        <v>12</v>
      </c>
      <c r="K47" s="1">
        <f>9590*2</f>
        <v>19180</v>
      </c>
      <c r="M47" s="6">
        <f t="shared" si="8"/>
        <v>5.3704000000000001</v>
      </c>
      <c r="N47" s="5">
        <f t="shared" si="7"/>
        <v>64.444800000000001</v>
      </c>
    </row>
    <row r="48" spans="2:16" x14ac:dyDescent="0.25">
      <c r="B48" s="4" t="s">
        <v>21</v>
      </c>
      <c r="C48" s="2" t="str">
        <f>CONCATENATE("□",I48,"×",J48,"×",K48)</f>
        <v>□180×12×1884</v>
      </c>
      <c r="D48" s="2">
        <v>24</v>
      </c>
      <c r="E48" s="3">
        <f>IF(L48&gt;0,(L48*J48/1000000000*7850),(I48*J48*K48/1000000000*7850))</f>
        <v>31.945103999999997</v>
      </c>
      <c r="F48" s="3">
        <f>D48*E48</f>
        <v>766.6824959999999</v>
      </c>
      <c r="I48" s="1">
        <v>180</v>
      </c>
      <c r="J48" s="1">
        <v>12</v>
      </c>
      <c r="K48" s="1">
        <v>1884</v>
      </c>
      <c r="M48" s="6">
        <f t="shared" si="8"/>
        <v>0.67823999999999995</v>
      </c>
      <c r="N48" s="5">
        <f t="shared" si="7"/>
        <v>16.277760000000001</v>
      </c>
    </row>
    <row r="49" spans="2:14" x14ac:dyDescent="0.25">
      <c r="B49" s="4" t="s">
        <v>22</v>
      </c>
      <c r="C49" s="2" t="str">
        <f t="shared" ref="C49:C54" si="9">CONCATENATE("□",I49,"×",J49,"×",K49)</f>
        <v>□180×12×1857</v>
      </c>
      <c r="D49" s="2">
        <v>24</v>
      </c>
      <c r="E49" s="3">
        <f t="shared" ref="E49:E54" si="10">IF(L49&gt;0,(L49*J49/1000000000*7850),(I49*J49*K49/1000000000*7850))</f>
        <v>31.487292</v>
      </c>
      <c r="F49" s="3">
        <f t="shared" ref="F49:F54" si="11">D49*E49</f>
        <v>755.69500800000003</v>
      </c>
      <c r="I49" s="1">
        <v>180</v>
      </c>
      <c r="J49" s="1">
        <v>12</v>
      </c>
      <c r="K49" s="1">
        <v>1857</v>
      </c>
      <c r="M49" s="6">
        <f t="shared" si="8"/>
        <v>0.66852</v>
      </c>
      <c r="N49" s="5">
        <f t="shared" si="7"/>
        <v>16.04448</v>
      </c>
    </row>
    <row r="50" spans="2:14" x14ac:dyDescent="0.25">
      <c r="B50" s="4" t="s">
        <v>35</v>
      </c>
      <c r="C50" s="2" t="str">
        <f>CONCATENATE("□",I50,"×",J50,"×",K50)</f>
        <v>□180×12×1830</v>
      </c>
      <c r="D50" s="2">
        <v>24</v>
      </c>
      <c r="E50" s="3">
        <f>IF(L50&gt;0,(L50*J50/1000000000*7850),(I50*J50*K50/1000000000*7850))</f>
        <v>31.029480000000003</v>
      </c>
      <c r="F50" s="3">
        <f>D50*E50</f>
        <v>744.70752000000005</v>
      </c>
      <c r="I50" s="1">
        <v>180</v>
      </c>
      <c r="J50" s="1">
        <v>12</v>
      </c>
      <c r="K50" s="1">
        <v>1830</v>
      </c>
      <c r="M50" s="6">
        <f t="shared" si="8"/>
        <v>0.65880000000000005</v>
      </c>
      <c r="N50" s="5">
        <f t="shared" si="7"/>
        <v>15.811200000000001</v>
      </c>
    </row>
    <row r="51" spans="2:14" x14ac:dyDescent="0.25">
      <c r="B51" s="4" t="s">
        <v>36</v>
      </c>
      <c r="C51" s="2" t="str">
        <f t="shared" si="9"/>
        <v>□180×12×1803</v>
      </c>
      <c r="D51" s="2">
        <v>24</v>
      </c>
      <c r="E51" s="3">
        <f t="shared" si="10"/>
        <v>30.571667999999999</v>
      </c>
      <c r="F51" s="3">
        <f t="shared" si="11"/>
        <v>733.72003199999995</v>
      </c>
      <c r="I51" s="1">
        <v>180</v>
      </c>
      <c r="J51" s="1">
        <v>12</v>
      </c>
      <c r="K51" s="1">
        <v>1803</v>
      </c>
      <c r="M51" s="6">
        <f t="shared" si="8"/>
        <v>0.64907999999999999</v>
      </c>
      <c r="N51" s="5">
        <f t="shared" si="7"/>
        <v>15.577919999999999</v>
      </c>
    </row>
    <row r="52" spans="2:14" x14ac:dyDescent="0.25">
      <c r="B52" s="4" t="s">
        <v>48</v>
      </c>
      <c r="C52" s="2" t="str">
        <f>CONCATENATE("□",I52,"×",J52,"×",K52)</f>
        <v>□180×12×1776</v>
      </c>
      <c r="D52" s="2">
        <v>24</v>
      </c>
      <c r="E52" s="3">
        <f>IF(L52&gt;0,(L52*J52/1000000000*7850),(I52*J52*K52/1000000000*7850))</f>
        <v>30.113855999999998</v>
      </c>
      <c r="F52" s="3">
        <f>D52*E52</f>
        <v>722.73254399999996</v>
      </c>
      <c r="I52" s="1">
        <v>180</v>
      </c>
      <c r="J52" s="1">
        <v>12</v>
      </c>
      <c r="K52" s="1">
        <v>1776</v>
      </c>
      <c r="M52" s="6">
        <f>IF(L52&gt;0,(L52*2/1000000),(I52*K52*2/1000000))</f>
        <v>0.63936000000000004</v>
      </c>
      <c r="N52" s="5">
        <f t="shared" si="7"/>
        <v>15.344640000000002</v>
      </c>
    </row>
    <row r="53" spans="2:14" x14ac:dyDescent="0.25">
      <c r="B53" s="4" t="s">
        <v>38</v>
      </c>
      <c r="C53" s="2" t="str">
        <f>CONCATENATE("□",I53,"×",J53,"×",K53)</f>
        <v>□100×10×5014</v>
      </c>
      <c r="D53" s="2">
        <v>8</v>
      </c>
      <c r="E53" s="3">
        <f>IF(L53&gt;0,(L53*J53/1000000000*7850),(I53*J53*K53/1000000000*7850))</f>
        <v>39.359900000000003</v>
      </c>
      <c r="F53" s="3">
        <f>D53*E53</f>
        <v>314.87920000000003</v>
      </c>
      <c r="I53" s="1">
        <v>100</v>
      </c>
      <c r="J53" s="1">
        <v>10</v>
      </c>
      <c r="K53" s="1">
        <v>5014</v>
      </c>
      <c r="M53" s="6">
        <f>IF(L53&gt;0,(L53*2/1000000),(I53*K53*2/1000000))</f>
        <v>1.0027999999999999</v>
      </c>
      <c r="N53" s="5">
        <f t="shared" si="7"/>
        <v>8.0223999999999993</v>
      </c>
    </row>
    <row r="54" spans="2:14" x14ac:dyDescent="0.25">
      <c r="B54" s="4" t="s">
        <v>46</v>
      </c>
      <c r="C54" s="2" t="str">
        <f t="shared" si="9"/>
        <v>□100×10×2600</v>
      </c>
      <c r="D54" s="2">
        <v>8</v>
      </c>
      <c r="E54" s="3">
        <f t="shared" si="10"/>
        <v>20.41</v>
      </c>
      <c r="F54" s="3">
        <f t="shared" si="11"/>
        <v>163.28</v>
      </c>
      <c r="I54" s="1">
        <v>100</v>
      </c>
      <c r="J54" s="1">
        <v>10</v>
      </c>
      <c r="K54" s="1">
        <v>2600</v>
      </c>
      <c r="M54" s="6">
        <f t="shared" si="8"/>
        <v>0.52</v>
      </c>
      <c r="N54" s="5">
        <f t="shared" si="7"/>
        <v>4.16</v>
      </c>
    </row>
    <row r="55" spans="2:14" x14ac:dyDescent="0.25">
      <c r="B55" s="4" t="s">
        <v>47</v>
      </c>
      <c r="C55" s="2" t="str">
        <f t="shared" ref="C55:C65" si="12">CONCATENATE("□",I55,"×",J55,"×",K55)</f>
        <v>□100×10×1500</v>
      </c>
      <c r="D55" s="2">
        <v>4</v>
      </c>
      <c r="E55" s="3">
        <f t="shared" ref="E55:E65" si="13">IF(L55&gt;0,(L55*J55/1000000000*7850),(I55*J55*K55/1000000000*7850))</f>
        <v>11.775</v>
      </c>
      <c r="F55" s="3">
        <f t="shared" ref="F55:F65" si="14">D55*E55</f>
        <v>47.1</v>
      </c>
      <c r="I55" s="1">
        <v>100</v>
      </c>
      <c r="J55" s="1">
        <v>10</v>
      </c>
      <c r="K55" s="1">
        <v>1500</v>
      </c>
      <c r="M55" s="6">
        <f t="shared" ref="M55:M72" si="15">IF(L55&gt;0,(L55*2/1000000),(I55*K55*2/1000000))</f>
        <v>0.3</v>
      </c>
      <c r="N55" s="5">
        <f t="shared" si="7"/>
        <v>1.2</v>
      </c>
    </row>
    <row r="56" spans="2:14" x14ac:dyDescent="0.25">
      <c r="B56" s="4" t="s">
        <v>39</v>
      </c>
      <c r="C56" s="2" t="str">
        <f t="shared" si="12"/>
        <v>□100×10×3584</v>
      </c>
      <c r="D56" s="2">
        <v>8</v>
      </c>
      <c r="E56" s="3">
        <f t="shared" si="13"/>
        <v>28.134399999999999</v>
      </c>
      <c r="F56" s="3">
        <f t="shared" si="14"/>
        <v>225.0752</v>
      </c>
      <c r="I56" s="1">
        <v>100</v>
      </c>
      <c r="J56" s="1">
        <v>10</v>
      </c>
      <c r="K56" s="1">
        <v>3584</v>
      </c>
      <c r="M56" s="6">
        <f t="shared" si="15"/>
        <v>0.71679999999999999</v>
      </c>
      <c r="N56" s="5">
        <f t="shared" si="7"/>
        <v>5.7343999999999999</v>
      </c>
    </row>
    <row r="57" spans="2:14" x14ac:dyDescent="0.25">
      <c r="B57" s="4" t="s">
        <v>49</v>
      </c>
      <c r="C57" s="2" t="str">
        <f t="shared" si="12"/>
        <v>□100×10×2065</v>
      </c>
      <c r="D57" s="2">
        <v>8</v>
      </c>
      <c r="E57" s="3">
        <f t="shared" si="13"/>
        <v>16.210249999999998</v>
      </c>
      <c r="F57" s="3">
        <f t="shared" si="14"/>
        <v>129.68199999999999</v>
      </c>
      <c r="I57" s="1">
        <v>100</v>
      </c>
      <c r="J57" s="1">
        <v>10</v>
      </c>
      <c r="K57" s="1">
        <v>2065</v>
      </c>
      <c r="M57" s="6">
        <f t="shared" si="15"/>
        <v>0.41299999999999998</v>
      </c>
      <c r="N57" s="5">
        <f t="shared" si="7"/>
        <v>3.3039999999999998</v>
      </c>
    </row>
    <row r="58" spans="2:14" x14ac:dyDescent="0.25">
      <c r="B58" s="4" t="s">
        <v>56</v>
      </c>
      <c r="C58" s="2" t="str">
        <f>CONCATENATE("□",I58,"×",J58,"×",K58)</f>
        <v>□100×10×1623</v>
      </c>
      <c r="D58" s="2">
        <v>8</v>
      </c>
      <c r="E58" s="3">
        <f>IF(L58&gt;0,(L58*J58/1000000000*7850),(I58*J58*K58/1000000000*7850))</f>
        <v>12.740550000000001</v>
      </c>
      <c r="F58" s="3">
        <f>D58*E58</f>
        <v>101.92440000000001</v>
      </c>
      <c r="I58" s="1">
        <v>100</v>
      </c>
      <c r="J58" s="1">
        <v>10</v>
      </c>
      <c r="K58" s="1">
        <v>1623</v>
      </c>
      <c r="M58" s="6">
        <f t="shared" si="15"/>
        <v>0.3246</v>
      </c>
      <c r="N58" s="5">
        <f t="shared" si="7"/>
        <v>2.5968</v>
      </c>
    </row>
    <row r="59" spans="2:14" x14ac:dyDescent="0.25">
      <c r="B59" s="4" t="s">
        <v>40</v>
      </c>
      <c r="C59" s="2" t="str">
        <f t="shared" si="12"/>
        <v>□100×10×1379</v>
      </c>
      <c r="D59" s="2">
        <v>8</v>
      </c>
      <c r="E59" s="3">
        <f t="shared" si="13"/>
        <v>10.825150000000001</v>
      </c>
      <c r="F59" s="3">
        <f t="shared" si="14"/>
        <v>86.601200000000006</v>
      </c>
      <c r="I59" s="1">
        <v>100</v>
      </c>
      <c r="J59" s="1">
        <v>10</v>
      </c>
      <c r="K59" s="1">
        <v>1379</v>
      </c>
      <c r="M59" s="6">
        <f t="shared" si="15"/>
        <v>0.27579999999999999</v>
      </c>
      <c r="N59" s="5">
        <f t="shared" si="7"/>
        <v>2.2063999999999999</v>
      </c>
    </row>
    <row r="60" spans="2:14" x14ac:dyDescent="0.25">
      <c r="B60" s="4" t="s">
        <v>50</v>
      </c>
      <c r="C60" s="2" t="str">
        <f t="shared" si="12"/>
        <v>□100×10×1325</v>
      </c>
      <c r="D60" s="2">
        <v>8</v>
      </c>
      <c r="E60" s="3">
        <f t="shared" si="13"/>
        <v>10.401249999999999</v>
      </c>
      <c r="F60" s="3">
        <f t="shared" si="14"/>
        <v>83.21</v>
      </c>
      <c r="I60" s="1">
        <v>100</v>
      </c>
      <c r="J60" s="1">
        <v>10</v>
      </c>
      <c r="K60" s="1">
        <v>1325</v>
      </c>
      <c r="M60" s="6">
        <f t="shared" si="15"/>
        <v>0.26500000000000001</v>
      </c>
      <c r="N60" s="5">
        <f t="shared" si="7"/>
        <v>2.12</v>
      </c>
    </row>
    <row r="61" spans="2:14" x14ac:dyDescent="0.25">
      <c r="B61" s="4" t="s">
        <v>51</v>
      </c>
      <c r="C61" s="2" t="str">
        <f t="shared" si="12"/>
        <v>□100×10×1302</v>
      </c>
      <c r="D61" s="2">
        <v>8</v>
      </c>
      <c r="E61" s="3">
        <f t="shared" si="13"/>
        <v>10.220700000000001</v>
      </c>
      <c r="F61" s="3">
        <f t="shared" si="14"/>
        <v>81.765600000000006</v>
      </c>
      <c r="I61" s="1">
        <v>100</v>
      </c>
      <c r="J61" s="1">
        <v>10</v>
      </c>
      <c r="K61" s="1">
        <v>1302</v>
      </c>
      <c r="M61" s="6">
        <f t="shared" si="15"/>
        <v>0.26040000000000002</v>
      </c>
      <c r="N61" s="5">
        <f t="shared" si="7"/>
        <v>2.0832000000000002</v>
      </c>
    </row>
    <row r="62" spans="2:14" x14ac:dyDescent="0.25">
      <c r="B62" s="4" t="s">
        <v>52</v>
      </c>
      <c r="C62" s="2" t="str">
        <f t="shared" si="12"/>
        <v>□100×10×1733</v>
      </c>
      <c r="D62" s="2">
        <v>8</v>
      </c>
      <c r="E62" s="3">
        <f t="shared" si="13"/>
        <v>13.604049999999999</v>
      </c>
      <c r="F62" s="3">
        <f t="shared" si="14"/>
        <v>108.83239999999999</v>
      </c>
      <c r="I62" s="1">
        <v>100</v>
      </c>
      <c r="J62" s="1">
        <v>10</v>
      </c>
      <c r="K62" s="1">
        <v>1733</v>
      </c>
      <c r="M62" s="6">
        <f t="shared" si="15"/>
        <v>0.34660000000000002</v>
      </c>
      <c r="N62" s="5">
        <f t="shared" si="7"/>
        <v>2.7728000000000002</v>
      </c>
    </row>
    <row r="63" spans="2:14" x14ac:dyDescent="0.25">
      <c r="B63" s="4" t="s">
        <v>53</v>
      </c>
      <c r="C63" s="2" t="str">
        <f t="shared" si="12"/>
        <v>□100×10×1347</v>
      </c>
      <c r="D63" s="2">
        <v>8</v>
      </c>
      <c r="E63" s="3">
        <f t="shared" si="13"/>
        <v>10.57395</v>
      </c>
      <c r="F63" s="3">
        <f t="shared" si="14"/>
        <v>84.5916</v>
      </c>
      <c r="I63" s="1">
        <v>100</v>
      </c>
      <c r="J63" s="1">
        <v>10</v>
      </c>
      <c r="K63" s="1">
        <v>1347</v>
      </c>
      <c r="M63" s="6">
        <f t="shared" si="15"/>
        <v>0.26939999999999997</v>
      </c>
      <c r="N63" s="5">
        <f t="shared" si="7"/>
        <v>2.1551999999999998</v>
      </c>
    </row>
    <row r="64" spans="2:14" x14ac:dyDescent="0.25">
      <c r="B64" s="4" t="s">
        <v>54</v>
      </c>
      <c r="C64" s="2" t="str">
        <f t="shared" si="12"/>
        <v>□100×10×1322</v>
      </c>
      <c r="D64" s="2">
        <v>8</v>
      </c>
      <c r="E64" s="3">
        <f t="shared" si="13"/>
        <v>10.377700000000001</v>
      </c>
      <c r="F64" s="3">
        <f t="shared" si="14"/>
        <v>83.021600000000007</v>
      </c>
      <c r="I64" s="1">
        <v>100</v>
      </c>
      <c r="J64" s="1">
        <v>10</v>
      </c>
      <c r="K64" s="1">
        <v>1322</v>
      </c>
      <c r="M64" s="6">
        <f t="shared" si="15"/>
        <v>0.26440000000000002</v>
      </c>
      <c r="N64" s="5">
        <f t="shared" si="7"/>
        <v>2.1152000000000002</v>
      </c>
    </row>
    <row r="65" spans="2:14" x14ac:dyDescent="0.25">
      <c r="B65" s="4" t="s">
        <v>55</v>
      </c>
      <c r="C65" s="2" t="str">
        <f t="shared" si="12"/>
        <v>□100×10×1131</v>
      </c>
      <c r="D65" s="2">
        <v>8</v>
      </c>
      <c r="E65" s="3">
        <f t="shared" si="13"/>
        <v>8.8783500000000011</v>
      </c>
      <c r="F65" s="3">
        <f t="shared" si="14"/>
        <v>71.026800000000009</v>
      </c>
      <c r="I65" s="1">
        <v>100</v>
      </c>
      <c r="J65" s="1">
        <v>10</v>
      </c>
      <c r="K65" s="1">
        <v>1131</v>
      </c>
      <c r="M65" s="6">
        <f t="shared" si="15"/>
        <v>0.22620000000000001</v>
      </c>
      <c r="N65" s="5">
        <f t="shared" si="7"/>
        <v>1.8096000000000001</v>
      </c>
    </row>
    <row r="66" spans="2:14" x14ac:dyDescent="0.25">
      <c r="B66" s="4" t="s">
        <v>41</v>
      </c>
      <c r="C66" s="2" t="str">
        <f>CONCATENATE("□",I66,"×",J66,"×",K66)</f>
        <v>□110×10×3748</v>
      </c>
      <c r="D66" s="2">
        <v>8</v>
      </c>
      <c r="E66" s="3">
        <f>IF(L66&gt;0,(L66*J66/1000000000*7850),(I66*J66*K66/1000000000*7850))</f>
        <v>32.363980000000005</v>
      </c>
      <c r="F66" s="3">
        <f t="shared" ref="F66:F72" si="16">D66*E66</f>
        <v>258.91184000000004</v>
      </c>
      <c r="I66" s="1">
        <v>110</v>
      </c>
      <c r="J66" s="1">
        <v>10</v>
      </c>
      <c r="K66" s="1">
        <v>3748</v>
      </c>
      <c r="M66" s="6">
        <f t="shared" si="15"/>
        <v>0.82455999999999996</v>
      </c>
      <c r="N66" s="5">
        <f t="shared" si="7"/>
        <v>6.5964799999999997</v>
      </c>
    </row>
    <row r="67" spans="2:14" x14ac:dyDescent="0.25">
      <c r="B67" s="4" t="s">
        <v>57</v>
      </c>
      <c r="C67" s="15" t="str">
        <f>CONCATENATE("□",I67,"×",J67,"×",K67,"(平均)")</f>
        <v>□550×24×3520(平均)</v>
      </c>
      <c r="D67" s="2">
        <v>4</v>
      </c>
      <c r="E67" s="16">
        <f>IF(L67&gt;0,(L67*J67/1000000000*7850),(I67*J67*K67/1000000000*7850))</f>
        <v>364.74239999999998</v>
      </c>
      <c r="F67" s="3">
        <f t="shared" si="16"/>
        <v>1458.9695999999999</v>
      </c>
      <c r="I67" s="1">
        <v>550</v>
      </c>
      <c r="J67" s="1">
        <v>24</v>
      </c>
      <c r="K67" s="1">
        <v>3520</v>
      </c>
      <c r="M67" s="6">
        <f t="shared" si="15"/>
        <v>3.8719999999999999</v>
      </c>
      <c r="N67" s="5">
        <f t="shared" si="7"/>
        <v>15.488</v>
      </c>
    </row>
    <row r="68" spans="2:14" x14ac:dyDescent="0.25">
      <c r="B68" s="4" t="s">
        <v>42</v>
      </c>
      <c r="C68" s="2" t="str">
        <f>CONCATENATE("□",I68,"×",J68,"×",K68)</f>
        <v>□134×12×300</v>
      </c>
      <c r="D68" s="2">
        <v>24</v>
      </c>
      <c r="E68" s="3">
        <f>IF(L68&gt;0,(L68*J68/1000000000*7850),(I68*J68*K68/1000000000*7850))</f>
        <v>3.7868400000000002</v>
      </c>
      <c r="F68" s="3">
        <f t="shared" si="16"/>
        <v>90.884160000000008</v>
      </c>
      <c r="I68" s="1">
        <v>134</v>
      </c>
      <c r="J68" s="1">
        <v>12</v>
      </c>
      <c r="K68" s="1">
        <v>300</v>
      </c>
      <c r="M68" s="6">
        <f t="shared" si="15"/>
        <v>8.0399999999999999E-2</v>
      </c>
      <c r="N68" s="5">
        <f t="shared" si="7"/>
        <v>1.9296</v>
      </c>
    </row>
    <row r="69" spans="2:14" x14ac:dyDescent="0.25">
      <c r="B69" s="4" t="s">
        <v>59</v>
      </c>
      <c r="C69" s="2" t="str">
        <f>CONCATENATE("□",I69,"×",J69,"×",K69)</f>
        <v>□134×12×400</v>
      </c>
      <c r="D69" s="2">
        <v>24</v>
      </c>
      <c r="E69" s="3">
        <f>IF(L69&gt;0,(L69*J69/1000000000*7850),(I69*J69*K69/1000000000*7850))</f>
        <v>5.0491200000000003</v>
      </c>
      <c r="F69" s="3">
        <f t="shared" si="16"/>
        <v>121.17888000000001</v>
      </c>
      <c r="I69" s="1">
        <v>134</v>
      </c>
      <c r="J69" s="1">
        <v>12</v>
      </c>
      <c r="K69" s="1">
        <v>400</v>
      </c>
      <c r="M69" s="6">
        <f t="shared" si="15"/>
        <v>0.1072</v>
      </c>
      <c r="N69" s="5">
        <f t="shared" si="7"/>
        <v>2.5728</v>
      </c>
    </row>
    <row r="70" spans="2:14" x14ac:dyDescent="0.25">
      <c r="B70" s="4" t="s">
        <v>28</v>
      </c>
      <c r="C70" s="2" t="str">
        <f>CONCATENATE("□",I70,"×",J70,"×",K70)</f>
        <v>□420×50×420</v>
      </c>
      <c r="D70" s="2">
        <v>4</v>
      </c>
      <c r="E70" s="3">
        <f>IF(L70&gt;0,(L70*J70/1000000000*7850),(I70*J70*K70/1000000000*7850))</f>
        <v>69.236999999999995</v>
      </c>
      <c r="F70" s="3">
        <f t="shared" si="16"/>
        <v>276.94799999999998</v>
      </c>
      <c r="I70" s="1">
        <v>420</v>
      </c>
      <c r="J70" s="1">
        <v>50</v>
      </c>
      <c r="K70" s="1">
        <v>420</v>
      </c>
      <c r="M70" s="6">
        <f t="shared" si="15"/>
        <v>0.3528</v>
      </c>
      <c r="N70" s="5">
        <f t="shared" si="7"/>
        <v>1.4112</v>
      </c>
    </row>
    <row r="71" spans="2:14" x14ac:dyDescent="0.25">
      <c r="B71" s="4" t="s">
        <v>29</v>
      </c>
      <c r="C71" s="14" t="str">
        <f>CONCATENATE("φ(内)",I71,"×",J71,"×",K71,"(平均)")</f>
        <v>φ(内)991×24×257(平均)</v>
      </c>
      <c r="D71" s="2">
        <v>4</v>
      </c>
      <c r="E71" s="16">
        <f>21186.9009*K71/1000000000*7850</f>
        <v>42.743513220704997</v>
      </c>
      <c r="F71" s="3">
        <f t="shared" si="16"/>
        <v>170.97405288281999</v>
      </c>
      <c r="I71" s="1">
        <f>1491-500</f>
        <v>991</v>
      </c>
      <c r="J71" s="1">
        <v>24</v>
      </c>
      <c r="K71" s="1">
        <v>257</v>
      </c>
      <c r="M71" s="6">
        <f t="shared" si="15"/>
        <v>0.50937399999999999</v>
      </c>
      <c r="N71" s="5">
        <f t="shared" si="7"/>
        <v>2.037496</v>
      </c>
    </row>
    <row r="72" spans="2:14" x14ac:dyDescent="0.25">
      <c r="B72" s="4" t="s">
        <v>44</v>
      </c>
      <c r="C72" s="2" t="str">
        <f>CONCATENATE("□",I72,"×",J72,"×",K72)</f>
        <v>□100×16×750</v>
      </c>
      <c r="D72" s="2">
        <v>24</v>
      </c>
      <c r="E72" s="3">
        <f>IF(L72&gt;0,(L72*J72/1000000000*7850),(I72*J72*K72/1000000000*7850))</f>
        <v>9.2629999999999999</v>
      </c>
      <c r="F72" s="3">
        <f t="shared" si="16"/>
        <v>222.31200000000001</v>
      </c>
      <c r="I72" s="1">
        <v>100</v>
      </c>
      <c r="J72" s="1">
        <v>16</v>
      </c>
      <c r="K72" s="1">
        <v>750</v>
      </c>
      <c r="L72" s="1">
        <v>73750</v>
      </c>
      <c r="M72" s="6">
        <f t="shared" si="15"/>
        <v>0.14749999999999999</v>
      </c>
      <c r="N72" s="5">
        <f t="shared" si="7"/>
        <v>3.54</v>
      </c>
    </row>
    <row r="73" spans="2:14" x14ac:dyDescent="0.25">
      <c r="B73" s="34" t="s">
        <v>23</v>
      </c>
      <c r="C73" s="34"/>
      <c r="D73" s="34"/>
      <c r="E73" s="34"/>
      <c r="F73" s="7">
        <f>SUM(F29:F72)</f>
        <v>226755.65416193596</v>
      </c>
    </row>
    <row r="74" spans="2:14" x14ac:dyDescent="0.25">
      <c r="B74" s="34" t="s">
        <v>26</v>
      </c>
      <c r="C74" s="34"/>
      <c r="D74" s="34"/>
      <c r="E74" s="34"/>
      <c r="F74" s="8">
        <f>F73*0.015</f>
        <v>3401.3348124290392</v>
      </c>
    </row>
    <row r="75" spans="2:14" x14ac:dyDescent="0.25">
      <c r="B75" s="34" t="s">
        <v>24</v>
      </c>
      <c r="C75" s="34"/>
      <c r="D75" s="34"/>
      <c r="E75" s="34"/>
      <c r="F75" s="7">
        <f>F73+F74</f>
        <v>230156.988974365</v>
      </c>
    </row>
    <row r="83" spans="2:5" x14ac:dyDescent="0.25">
      <c r="B83" s="34" t="s">
        <v>100</v>
      </c>
      <c r="C83" s="34"/>
      <c r="D83" s="34"/>
      <c r="E83" s="34" t="s">
        <v>101</v>
      </c>
    </row>
    <row r="84" spans="2:5" x14ac:dyDescent="0.25">
      <c r="B84" s="34" t="s">
        <v>98</v>
      </c>
      <c r="C84" s="4" t="s">
        <v>102</v>
      </c>
      <c r="D84" s="4" t="s">
        <v>99</v>
      </c>
      <c r="E84" s="34"/>
    </row>
    <row r="85" spans="2:5" x14ac:dyDescent="0.25">
      <c r="B85" s="34"/>
      <c r="C85" s="4" t="s">
        <v>95</v>
      </c>
      <c r="D85" s="4" t="s">
        <v>113</v>
      </c>
      <c r="E85" s="4" t="s">
        <v>113</v>
      </c>
    </row>
    <row r="86" spans="2:5" x14ac:dyDescent="0.25">
      <c r="B86" s="34" t="s">
        <v>103</v>
      </c>
      <c r="C86" s="4" t="s">
        <v>104</v>
      </c>
      <c r="D86" s="8">
        <f>SUMIF($J$29:$J$72,"10",$F$29:$F$72)</f>
        <v>1839.9018400000002</v>
      </c>
      <c r="E86" s="8">
        <f>D86*7</f>
        <v>12879.312880000001</v>
      </c>
    </row>
    <row r="87" spans="2:5" x14ac:dyDescent="0.25">
      <c r="B87" s="34"/>
      <c r="C87" s="4" t="s">
        <v>105</v>
      </c>
      <c r="D87" s="8">
        <f>SUMIF($J$29:$J$72,"12",$F$29:$F$72)</f>
        <v>57719.373955580879</v>
      </c>
      <c r="E87" s="8">
        <f t="shared" ref="E87:E98" si="17">D87*7</f>
        <v>404035.61768906616</v>
      </c>
    </row>
    <row r="88" spans="2:5" x14ac:dyDescent="0.25">
      <c r="B88" s="34"/>
      <c r="C88" s="4" t="s">
        <v>106</v>
      </c>
      <c r="D88" s="8">
        <f>SUMIF($J$29:$J$72,"14",$F$29:$F$72)</f>
        <v>20866.053599999999</v>
      </c>
      <c r="E88" s="8">
        <f t="shared" si="17"/>
        <v>146062.37520000001</v>
      </c>
    </row>
    <row r="89" spans="2:5" x14ac:dyDescent="0.25">
      <c r="B89" s="34"/>
      <c r="C89" s="4" t="s">
        <v>107</v>
      </c>
      <c r="D89" s="8">
        <f>SUMIF($J$29:$J$72,"16",$F$29:$F$72)</f>
        <v>101087.66284800001</v>
      </c>
      <c r="E89" s="8">
        <f t="shared" si="17"/>
        <v>707613.63993600011</v>
      </c>
    </row>
    <row r="90" spans="2:5" x14ac:dyDescent="0.25">
      <c r="B90" s="34"/>
      <c r="C90" s="4" t="s">
        <v>108</v>
      </c>
      <c r="D90" s="8">
        <f>SUMIF($J$29:$J$72,"24",$F$29:$F$72)</f>
        <v>4749.8476528828196</v>
      </c>
      <c r="E90" s="8">
        <f t="shared" si="17"/>
        <v>33248.933570179739</v>
      </c>
    </row>
    <row r="91" spans="2:5" x14ac:dyDescent="0.25">
      <c r="B91" s="34"/>
      <c r="C91" s="4" t="s">
        <v>109</v>
      </c>
      <c r="D91" s="8">
        <f>SUMIF($J$29:$J$72,"28",$F$29:$F$72)</f>
        <v>39678.853693792313</v>
      </c>
      <c r="E91" s="8">
        <f t="shared" si="17"/>
        <v>277751.9758565462</v>
      </c>
    </row>
    <row r="92" spans="2:5" x14ac:dyDescent="0.25">
      <c r="B92" s="34"/>
      <c r="C92" s="4" t="s">
        <v>110</v>
      </c>
      <c r="D92" s="8">
        <f>SUMIF($J$29:$J$72,"50",$F$29:$F$72)</f>
        <v>276.94799999999998</v>
      </c>
      <c r="E92" s="8">
        <f t="shared" si="17"/>
        <v>1938.636</v>
      </c>
    </row>
    <row r="93" spans="2:5" x14ac:dyDescent="0.25">
      <c r="B93" s="34"/>
      <c r="C93" s="4" t="s">
        <v>111</v>
      </c>
      <c r="D93" s="8">
        <f>SUMIF($J$29:$J$72,"8",$F$29:$F$72)</f>
        <v>537.01257168000006</v>
      </c>
      <c r="E93" s="8">
        <f t="shared" si="17"/>
        <v>3759.0880017600002</v>
      </c>
    </row>
    <row r="94" spans="2:5" x14ac:dyDescent="0.25">
      <c r="B94" s="34"/>
      <c r="C94" s="4" t="s">
        <v>112</v>
      </c>
      <c r="D94" s="8">
        <f>SUM(D86:D93)</f>
        <v>226755.65416193602</v>
      </c>
      <c r="E94" s="8">
        <f t="shared" si="17"/>
        <v>1587289.579133552</v>
      </c>
    </row>
    <row r="95" spans="2:5" x14ac:dyDescent="0.25">
      <c r="B95" s="34"/>
      <c r="C95" s="4" t="s">
        <v>114</v>
      </c>
      <c r="D95" s="8">
        <f>D94*0.015</f>
        <v>3401.3348124290401</v>
      </c>
      <c r="E95" s="8">
        <f t="shared" si="17"/>
        <v>23809.343687003282</v>
      </c>
    </row>
    <row r="96" spans="2:5" x14ac:dyDescent="0.25">
      <c r="B96" s="34"/>
      <c r="C96" s="4" t="s">
        <v>115</v>
      </c>
      <c r="D96" s="7">
        <f>D94+D95</f>
        <v>230156.98897436506</v>
      </c>
      <c r="E96" s="8">
        <f t="shared" si="17"/>
        <v>1611098.9228205555</v>
      </c>
    </row>
    <row r="97" spans="2:5" x14ac:dyDescent="0.25">
      <c r="B97" s="34" t="s">
        <v>25</v>
      </c>
      <c r="C97" s="4" t="s">
        <v>116</v>
      </c>
      <c r="D97" s="7">
        <f>SUM(N29:N72)-D98</f>
        <v>1376.2761495159998</v>
      </c>
      <c r="E97" s="8">
        <f t="shared" si="17"/>
        <v>9633.9330466119991</v>
      </c>
    </row>
    <row r="98" spans="2:5" x14ac:dyDescent="0.25">
      <c r="B98" s="34"/>
      <c r="C98" s="4" t="s">
        <v>117</v>
      </c>
      <c r="D98" s="8">
        <f>(N29+N34+N37+N38)/2+(N29/2)*0.6815+N33+N42+SUM(N47:N52)</f>
        <v>2315.8700934335998</v>
      </c>
      <c r="E98" s="8">
        <f t="shared" si="17"/>
        <v>16211.090654035199</v>
      </c>
    </row>
  </sheetData>
  <mergeCells count="10">
    <mergeCell ref="M28:N28"/>
    <mergeCell ref="B83:D83"/>
    <mergeCell ref="E83:E84"/>
    <mergeCell ref="B84:B85"/>
    <mergeCell ref="B86:B96"/>
    <mergeCell ref="B2:B3"/>
    <mergeCell ref="B73:E73"/>
    <mergeCell ref="B74:E74"/>
    <mergeCell ref="B75:E75"/>
    <mergeCell ref="B97:B98"/>
  </mergeCells>
  <phoneticPr fontId="1" type="noConversion"/>
  <pageMargins left="0.7" right="0.7" top="0.75" bottom="0.75" header="0.3" footer="0.3"/>
  <pageSetup paperSize="9" orientation="portrait" copies="0" r:id="rId1"/>
  <ignoredErrors>
    <ignoredError sqref="C68:E7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81AB-93B8-46EF-93D5-6D351068506E}">
  <dimension ref="A2:Z97"/>
  <sheetViews>
    <sheetView topLeftCell="A70" workbookViewId="0">
      <selection activeCell="D83" sqref="D83:D97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1" style="1" customWidth="1"/>
    <col min="4" max="4" width="11" style="1" customWidth="1"/>
    <col min="5" max="5" width="13.109375" style="1" customWidth="1"/>
    <col min="6" max="6" width="9.44140625" style="1" bestFit="1" customWidth="1"/>
    <col min="7" max="8" width="9.109375" style="1" bestFit="1" customWidth="1"/>
    <col min="9" max="9" width="9.88671875" style="1" bestFit="1" customWidth="1"/>
    <col min="10" max="10" width="9" style="1"/>
    <col min="11" max="11" width="9.88671875" style="1" customWidth="1"/>
    <col min="12" max="12" width="12.77734375" style="1" bestFit="1" customWidth="1"/>
    <col min="13" max="13" width="11.6640625" style="1" bestFit="1" customWidth="1"/>
    <col min="14" max="16384" width="9" style="1"/>
  </cols>
  <sheetData>
    <row r="2" spans="2:26" x14ac:dyDescent="0.25">
      <c r="B2" s="34" t="s">
        <v>80</v>
      </c>
      <c r="C2" s="4" t="s">
        <v>75</v>
      </c>
      <c r="D2" s="4" t="s">
        <v>76</v>
      </c>
      <c r="E2" s="4" t="s">
        <v>77</v>
      </c>
      <c r="F2" s="4" t="s">
        <v>183</v>
      </c>
      <c r="G2" s="23"/>
      <c r="H2" s="23"/>
      <c r="I2" s="23"/>
      <c r="J2" s="23"/>
      <c r="K2" s="23"/>
    </row>
    <row r="3" spans="2:26" x14ac:dyDescent="0.25">
      <c r="B3" s="34"/>
      <c r="C3" s="4" t="s">
        <v>95</v>
      </c>
      <c r="D3" s="4" t="s">
        <v>95</v>
      </c>
      <c r="E3" s="4" t="s">
        <v>95</v>
      </c>
      <c r="F3" s="4" t="s">
        <v>95</v>
      </c>
      <c r="G3" s="23"/>
      <c r="H3" s="23"/>
      <c r="I3" s="23"/>
      <c r="J3" s="23"/>
      <c r="K3" s="23"/>
    </row>
    <row r="4" spans="2:26" x14ac:dyDescent="0.25">
      <c r="B4" s="4" t="s">
        <v>170</v>
      </c>
      <c r="C4" s="21">
        <v>4820</v>
      </c>
      <c r="D4" s="21">
        <v>4073</v>
      </c>
      <c r="E4" s="21">
        <v>1073</v>
      </c>
      <c r="F4" s="7">
        <f>1558-500</f>
        <v>1058</v>
      </c>
      <c r="G4" s="23"/>
      <c r="H4" s="23"/>
      <c r="I4" s="23"/>
      <c r="J4" s="23"/>
      <c r="K4" s="23"/>
      <c r="T4" s="22"/>
      <c r="U4" s="22"/>
      <c r="V4" s="22"/>
      <c r="W4" s="22"/>
      <c r="X4" s="22"/>
      <c r="Y4" s="22"/>
      <c r="Z4" s="22"/>
    </row>
    <row r="5" spans="2:26" x14ac:dyDescent="0.25">
      <c r="B5" s="4" t="s">
        <v>19</v>
      </c>
      <c r="C5" s="21">
        <v>4820</v>
      </c>
      <c r="D5" s="21">
        <v>4073</v>
      </c>
      <c r="E5" s="21">
        <v>1073</v>
      </c>
      <c r="F5" s="7"/>
      <c r="G5" s="23"/>
      <c r="H5" s="23"/>
      <c r="I5" s="23"/>
      <c r="J5" s="23"/>
      <c r="K5" s="23"/>
      <c r="T5" s="22"/>
      <c r="U5" s="22"/>
      <c r="V5" s="22"/>
      <c r="W5" s="22"/>
      <c r="X5" s="22"/>
      <c r="Y5" s="22"/>
      <c r="Z5" s="22"/>
    </row>
    <row r="6" spans="2:26" x14ac:dyDescent="0.25">
      <c r="B6" s="4" t="s">
        <v>43</v>
      </c>
      <c r="C6" s="21">
        <v>4581</v>
      </c>
      <c r="D6" s="21">
        <v>3853</v>
      </c>
      <c r="E6" s="21">
        <v>1045.831106911628</v>
      </c>
      <c r="F6" s="7"/>
      <c r="G6" s="23"/>
      <c r="H6" s="23"/>
      <c r="I6" s="23"/>
      <c r="J6" s="23"/>
      <c r="K6" s="23"/>
      <c r="T6" s="22"/>
      <c r="U6" s="22"/>
      <c r="V6" s="22"/>
      <c r="W6" s="22"/>
      <c r="X6" s="22"/>
      <c r="Y6" s="22"/>
      <c r="Z6" s="22"/>
    </row>
    <row r="7" spans="2:26" x14ac:dyDescent="0.25">
      <c r="B7" s="4" t="s">
        <v>161</v>
      </c>
      <c r="C7" s="21">
        <v>4342</v>
      </c>
      <c r="D7" s="21">
        <v>3633</v>
      </c>
      <c r="E7" s="21">
        <v>1029</v>
      </c>
      <c r="F7" s="7">
        <f>1560-500</f>
        <v>1060</v>
      </c>
      <c r="G7" s="23"/>
      <c r="H7" s="23"/>
      <c r="I7" s="23"/>
      <c r="J7" s="23"/>
      <c r="K7" s="23"/>
      <c r="T7" s="22"/>
      <c r="U7" s="22"/>
      <c r="V7" s="22"/>
      <c r="W7" s="22"/>
      <c r="X7" s="22"/>
      <c r="Y7" s="22"/>
      <c r="Z7" s="22"/>
    </row>
    <row r="8" spans="2:26" x14ac:dyDescent="0.25">
      <c r="B8" s="4" t="s">
        <v>162</v>
      </c>
      <c r="C8" s="21">
        <v>4157</v>
      </c>
      <c r="D8" s="21">
        <v>3463</v>
      </c>
      <c r="E8" s="21">
        <v>999</v>
      </c>
      <c r="F8" s="7"/>
      <c r="G8" s="23"/>
      <c r="H8" s="23"/>
      <c r="I8" s="23"/>
      <c r="J8" s="23"/>
      <c r="K8" s="23"/>
      <c r="T8" s="22"/>
      <c r="U8" s="22"/>
      <c r="V8" s="22"/>
      <c r="W8" s="22"/>
      <c r="X8" s="22"/>
      <c r="Y8" s="22"/>
      <c r="Z8" s="22"/>
    </row>
    <row r="9" spans="2:26" x14ac:dyDescent="0.25">
      <c r="B9" s="4" t="s">
        <v>163</v>
      </c>
      <c r="C9" s="21">
        <v>3864</v>
      </c>
      <c r="D9" s="21">
        <v>3193</v>
      </c>
      <c r="E9" s="21">
        <v>967</v>
      </c>
      <c r="F9" s="7"/>
      <c r="G9" s="23"/>
      <c r="H9" s="23"/>
      <c r="I9" s="23"/>
      <c r="J9" s="23"/>
      <c r="K9" s="23"/>
      <c r="L9" s="5"/>
      <c r="T9" s="22"/>
      <c r="U9" s="22"/>
      <c r="V9" s="22"/>
      <c r="W9" s="22"/>
      <c r="X9" s="22"/>
      <c r="Y9" s="22"/>
      <c r="Z9" s="22"/>
    </row>
    <row r="10" spans="2:26" x14ac:dyDescent="0.25">
      <c r="B10" s="4" t="s">
        <v>164</v>
      </c>
      <c r="C10" s="21">
        <v>3625</v>
      </c>
      <c r="D10" s="21">
        <v>2973</v>
      </c>
      <c r="E10" s="21">
        <v>940</v>
      </c>
      <c r="F10" s="7">
        <f>1562-500</f>
        <v>1062</v>
      </c>
      <c r="G10" s="23"/>
      <c r="H10" s="23"/>
      <c r="I10" s="23"/>
      <c r="J10" s="23"/>
      <c r="K10" s="23"/>
      <c r="L10" s="5"/>
      <c r="T10" s="22"/>
      <c r="U10" s="22"/>
      <c r="V10" s="22"/>
      <c r="W10" s="22"/>
      <c r="X10" s="22"/>
      <c r="Y10" s="22"/>
      <c r="Z10" s="22"/>
    </row>
    <row r="11" spans="2:26" x14ac:dyDescent="0.25">
      <c r="F11" s="23"/>
      <c r="G11" s="23"/>
      <c r="H11" s="23"/>
      <c r="I11" s="23"/>
      <c r="J11" s="23"/>
      <c r="K11" s="23"/>
    </row>
    <row r="12" spans="2:26" x14ac:dyDescent="0.25">
      <c r="F12" s="23"/>
      <c r="G12" s="23"/>
      <c r="H12" s="23"/>
      <c r="I12" s="23"/>
      <c r="J12" s="23"/>
      <c r="K12" s="23"/>
    </row>
    <row r="21" spans="1:16" ht="13.5" customHeight="1" x14ac:dyDescent="0.25">
      <c r="A21" s="4" t="s">
        <v>177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I21" s="1" t="s">
        <v>6</v>
      </c>
      <c r="J21" s="1" t="s">
        <v>7</v>
      </c>
      <c r="K21" s="1" t="s">
        <v>8</v>
      </c>
      <c r="L21" s="1" t="s">
        <v>9</v>
      </c>
      <c r="M21" s="36" t="s">
        <v>25</v>
      </c>
      <c r="N21" s="36"/>
    </row>
    <row r="22" spans="1:16" x14ac:dyDescent="0.25">
      <c r="A22" s="34" t="s">
        <v>176</v>
      </c>
      <c r="B22" s="2" t="s">
        <v>11</v>
      </c>
      <c r="C22" s="2" t="str">
        <f t="shared" ref="C22:C37" si="0">CONCATENATE("□",I22,"×",J22,"×",K22)</f>
        <v>□19600×16×43398</v>
      </c>
      <c r="D22" s="2">
        <v>1</v>
      </c>
      <c r="E22" s="3">
        <f>IF(L22&gt;0,(L22*J22/1000000000*7850),(I22*J22*K22/1000000000*7850))</f>
        <v>101730.83971686591</v>
      </c>
      <c r="F22" s="3">
        <f t="shared" ref="F22:F70" si="1">D22*E22</f>
        <v>101730.83971686591</v>
      </c>
      <c r="I22" s="1">
        <v>19600</v>
      </c>
      <c r="J22" s="1">
        <v>16</v>
      </c>
      <c r="K22" s="5">
        <v>43398</v>
      </c>
      <c r="L22" s="1">
        <f>404979457.4716*2</f>
        <v>809958914.94319999</v>
      </c>
      <c r="M22" s="6">
        <f>IF(L22&gt;0,(L22*2/1000000),(I22*K22*2/1000000))</f>
        <v>1619.9178298863999</v>
      </c>
      <c r="N22" s="5">
        <f t="shared" ref="N22" si="2">D22*M22</f>
        <v>1619.9178298863999</v>
      </c>
      <c r="P22" s="5"/>
    </row>
    <row r="23" spans="1:16" x14ac:dyDescent="0.25">
      <c r="A23" s="34"/>
      <c r="B23" s="4" t="s">
        <v>14</v>
      </c>
      <c r="C23" s="2" t="str">
        <f t="shared" si="0"/>
        <v>□460×24×19682</v>
      </c>
      <c r="D23" s="2">
        <v>2</v>
      </c>
      <c r="E23" s="3">
        <f>IF(L23&gt;0,(L23*J23/1000000000*7850),(I23*J23*K23/1000000000*7850))</f>
        <v>1705.7208479999999</v>
      </c>
      <c r="F23" s="3">
        <f t="shared" si="1"/>
        <v>3411.4416959999999</v>
      </c>
      <c r="I23" s="1">
        <v>460</v>
      </c>
      <c r="J23" s="1">
        <v>24</v>
      </c>
      <c r="K23" s="5">
        <v>19682</v>
      </c>
      <c r="M23" s="6">
        <f t="shared" ref="M23:M70" si="3">IF(L23&gt;0,(L23*2/1000000),(I23*K23*2/1000000))</f>
        <v>18.10744</v>
      </c>
      <c r="N23" s="5">
        <f t="shared" ref="N23:N70" si="4">D23*M23</f>
        <v>36.214880000000001</v>
      </c>
      <c r="P23" s="5"/>
    </row>
    <row r="24" spans="1:16" ht="27.6" x14ac:dyDescent="0.25">
      <c r="A24" s="34"/>
      <c r="B24" s="4" t="s">
        <v>32</v>
      </c>
      <c r="C24" s="9" t="str">
        <f>CONCATENATE("□",I24,"×",J24,"×",K24,"(总长)")</f>
        <v>□140×12×793814(总长)</v>
      </c>
      <c r="D24" s="2">
        <v>1</v>
      </c>
      <c r="E24" s="3">
        <f>IF(L24&gt;0,(L24*J24/1000000000*7850),(I24*J24*K24/1000000000*7850))</f>
        <v>10468.819031999999</v>
      </c>
      <c r="F24" s="3">
        <f t="shared" si="1"/>
        <v>10468.819031999999</v>
      </c>
      <c r="I24" s="1">
        <v>140</v>
      </c>
      <c r="J24" s="1">
        <v>12</v>
      </c>
      <c r="K24" s="5">
        <f>396907*2</f>
        <v>793814</v>
      </c>
      <c r="M24" s="6">
        <f t="shared" si="3"/>
        <v>222.26792</v>
      </c>
      <c r="N24" s="5">
        <f t="shared" si="4"/>
        <v>222.26792</v>
      </c>
      <c r="P24" s="5"/>
    </row>
    <row r="25" spans="1:16" x14ac:dyDescent="0.25">
      <c r="A25" s="34"/>
      <c r="B25" s="11" t="s">
        <v>31</v>
      </c>
      <c r="C25" s="12" t="str">
        <f>CONCATENATE("U",I25,"×",J25,"×",K25)</f>
        <v>U300×8×19600</v>
      </c>
      <c r="D25" s="12">
        <v>40</v>
      </c>
      <c r="E25" s="13">
        <f>L25*I25/1000000000*7850</f>
        <v>13.425314292000001</v>
      </c>
      <c r="F25" s="13">
        <f t="shared" si="1"/>
        <v>537.01257168000006</v>
      </c>
      <c r="I25" s="1">
        <v>300</v>
      </c>
      <c r="J25" s="1">
        <v>8</v>
      </c>
      <c r="K25" s="5">
        <v>19600</v>
      </c>
      <c r="L25" s="1">
        <v>5700.7704000000003</v>
      </c>
      <c r="M25" s="6">
        <f t="shared" si="3"/>
        <v>1.14015408E-2</v>
      </c>
      <c r="N25" s="5">
        <f t="shared" si="4"/>
        <v>0.45606163199999999</v>
      </c>
      <c r="P25" s="5"/>
    </row>
    <row r="26" spans="1:16" x14ac:dyDescent="0.25">
      <c r="A26" s="34" t="s">
        <v>175</v>
      </c>
      <c r="B26" s="2" t="s">
        <v>10</v>
      </c>
      <c r="C26" s="2" t="str">
        <f t="shared" si="0"/>
        <v>□500×16×19518</v>
      </c>
      <c r="D26" s="2">
        <v>7</v>
      </c>
      <c r="E26" s="3">
        <f t="shared" ref="E26:E37" si="5">IF(L26&gt;0,(L26*J26/1000000000*7850),(I26*J26*K26/1000000000*7850))</f>
        <v>1225.7304000000001</v>
      </c>
      <c r="F26" s="3">
        <f t="shared" si="1"/>
        <v>8580.1128000000008</v>
      </c>
      <c r="I26" s="1">
        <v>500</v>
      </c>
      <c r="J26" s="1">
        <v>16</v>
      </c>
      <c r="K26" s="5">
        <f>9759*2</f>
        <v>19518</v>
      </c>
      <c r="M26" s="6">
        <f t="shared" si="3"/>
        <v>19.518000000000001</v>
      </c>
      <c r="N26" s="5">
        <f t="shared" si="4"/>
        <v>136.626</v>
      </c>
      <c r="P26" s="5"/>
    </row>
    <row r="27" spans="1:16" x14ac:dyDescent="0.25">
      <c r="A27" s="34"/>
      <c r="B27" s="2" t="s">
        <v>30</v>
      </c>
      <c r="C27" s="2" t="str">
        <f t="shared" si="0"/>
        <v>□6898×32×19600</v>
      </c>
      <c r="D27" s="2">
        <v>2</v>
      </c>
      <c r="E27" s="3">
        <f t="shared" si="5"/>
        <v>25224.284123640158</v>
      </c>
      <c r="F27" s="3">
        <f t="shared" si="1"/>
        <v>50448.568247280316</v>
      </c>
      <c r="I27" s="1">
        <v>6898</v>
      </c>
      <c r="J27" s="1">
        <v>32</v>
      </c>
      <c r="K27" s="5">
        <v>19600</v>
      </c>
      <c r="L27" s="1">
        <v>100415143.8043</v>
      </c>
      <c r="M27" s="6">
        <f t="shared" si="3"/>
        <v>200.8302876086</v>
      </c>
      <c r="N27" s="5">
        <f t="shared" si="4"/>
        <v>401.66057521720001</v>
      </c>
      <c r="P27" s="5"/>
    </row>
    <row r="28" spans="1:16" x14ac:dyDescent="0.25">
      <c r="A28" s="34"/>
      <c r="B28" s="2" t="s">
        <v>37</v>
      </c>
      <c r="C28" s="15" t="str">
        <f>CONCATENATE("□",I28,"×",J28,"×",K28,"(平均)")</f>
        <v>□380×16×4239(平均)</v>
      </c>
      <c r="D28" s="2">
        <v>14</v>
      </c>
      <c r="E28" s="3">
        <f t="shared" si="5"/>
        <v>202.31899200000001</v>
      </c>
      <c r="F28" s="3">
        <f t="shared" si="1"/>
        <v>2832.4658880000002</v>
      </c>
      <c r="I28" s="1">
        <v>380</v>
      </c>
      <c r="J28" s="1">
        <v>16</v>
      </c>
      <c r="K28" s="5">
        <f>(4836+3642)/2</f>
        <v>4239</v>
      </c>
      <c r="M28" s="6">
        <f t="shared" si="3"/>
        <v>3.2216399999999998</v>
      </c>
      <c r="N28" s="5">
        <f t="shared" si="4"/>
        <v>45.102959999999996</v>
      </c>
      <c r="P28" s="5"/>
    </row>
    <row r="29" spans="1:16" ht="27.6" x14ac:dyDescent="0.25">
      <c r="A29" s="34"/>
      <c r="B29" s="2" t="s">
        <v>15</v>
      </c>
      <c r="C29" s="9" t="str">
        <f>CONCATENATE("□",I29,"×",J29,"×",K29,"(总长)")</f>
        <v>□140×12×380836(总长)</v>
      </c>
      <c r="D29" s="2">
        <v>1</v>
      </c>
      <c r="E29" s="3">
        <f t="shared" si="5"/>
        <v>5022.4651679999997</v>
      </c>
      <c r="F29" s="3">
        <f t="shared" si="1"/>
        <v>5022.4651679999997</v>
      </c>
      <c r="I29" s="1">
        <v>140</v>
      </c>
      <c r="J29" s="1">
        <v>12</v>
      </c>
      <c r="K29" s="5">
        <f>190418*2</f>
        <v>380836</v>
      </c>
      <c r="M29" s="6">
        <f t="shared" si="3"/>
        <v>106.63408</v>
      </c>
      <c r="N29" s="5">
        <f t="shared" si="4"/>
        <v>106.63408</v>
      </c>
      <c r="P29" s="5"/>
    </row>
    <row r="30" spans="1:16" x14ac:dyDescent="0.25">
      <c r="A30" s="34" t="s">
        <v>174</v>
      </c>
      <c r="B30" s="4" t="s">
        <v>12</v>
      </c>
      <c r="C30" s="2" t="str">
        <f t="shared" si="0"/>
        <v>□3031×14×19600</v>
      </c>
      <c r="D30" s="2">
        <v>2</v>
      </c>
      <c r="E30" s="3">
        <f t="shared" si="5"/>
        <v>6528.8952399999998</v>
      </c>
      <c r="F30" s="3">
        <f t="shared" si="1"/>
        <v>13057.79048</v>
      </c>
      <c r="I30" s="1">
        <v>3031</v>
      </c>
      <c r="J30" s="1">
        <v>14</v>
      </c>
      <c r="K30" s="5">
        <v>19600</v>
      </c>
      <c r="M30" s="6">
        <f t="shared" si="3"/>
        <v>118.8152</v>
      </c>
      <c r="N30" s="5">
        <f t="shared" si="4"/>
        <v>237.63040000000001</v>
      </c>
      <c r="P30" s="5"/>
    </row>
    <row r="31" spans="1:16" x14ac:dyDescent="0.25">
      <c r="A31" s="34"/>
      <c r="B31" s="4" t="s">
        <v>13</v>
      </c>
      <c r="C31" s="2" t="str">
        <f t="shared" si="0"/>
        <v>□2283×14×19600</v>
      </c>
      <c r="D31" s="2">
        <v>2</v>
      </c>
      <c r="E31" s="3">
        <f t="shared" si="5"/>
        <v>4917.6733199999999</v>
      </c>
      <c r="F31" s="3">
        <f t="shared" si="1"/>
        <v>9835.3466399999998</v>
      </c>
      <c r="I31" s="1">
        <v>2283</v>
      </c>
      <c r="J31" s="1">
        <v>14</v>
      </c>
      <c r="K31" s="5">
        <v>19600</v>
      </c>
      <c r="M31" s="6">
        <f t="shared" si="3"/>
        <v>89.493600000000001</v>
      </c>
      <c r="N31" s="5">
        <f t="shared" si="4"/>
        <v>178.9872</v>
      </c>
      <c r="P31" s="5"/>
    </row>
    <row r="32" spans="1:16" x14ac:dyDescent="0.25">
      <c r="A32" s="34"/>
      <c r="B32" s="4" t="s">
        <v>178</v>
      </c>
      <c r="C32" s="2" t="str">
        <f>CONCATENATE("□",I32,"×",J32,"×",K32)</f>
        <v>□2179×20×8771</v>
      </c>
      <c r="D32" s="2">
        <v>2</v>
      </c>
      <c r="E32" s="3">
        <f>IF(L32&gt;0,(L32*J32/1000000000*7850),(I32*J32*K32/1000000000*7850))</f>
        <v>2824.5272640747994</v>
      </c>
      <c r="F32" s="3">
        <f>D32*E32</f>
        <v>5649.0545281495988</v>
      </c>
      <c r="I32" s="1">
        <v>2179</v>
      </c>
      <c r="J32" s="1">
        <v>20</v>
      </c>
      <c r="K32" s="5">
        <v>8771</v>
      </c>
      <c r="L32" s="1">
        <v>17990619.516399998</v>
      </c>
      <c r="M32" s="6">
        <f t="shared" si="3"/>
        <v>35.981239032799998</v>
      </c>
      <c r="N32" s="5">
        <f t="shared" si="4"/>
        <v>71.962478065599996</v>
      </c>
      <c r="P32" s="5"/>
    </row>
    <row r="33" spans="1:16" ht="27.6" x14ac:dyDescent="0.25">
      <c r="A33" s="34"/>
      <c r="B33" s="4" t="s">
        <v>16</v>
      </c>
      <c r="C33" s="9" t="str">
        <f>CONCATENATE("□",I33,"×",J33,"×",K33,"(总长)")</f>
        <v>□140×12×420800(总长)</v>
      </c>
      <c r="D33" s="2">
        <v>1</v>
      </c>
      <c r="E33" s="3">
        <f t="shared" si="5"/>
        <v>5549.5104000000001</v>
      </c>
      <c r="F33" s="3">
        <f t="shared" si="1"/>
        <v>5549.5104000000001</v>
      </c>
      <c r="I33" s="1">
        <v>140</v>
      </c>
      <c r="J33" s="1">
        <v>12</v>
      </c>
      <c r="K33" s="5">
        <f>19600*9*2+8500*8</f>
        <v>420800</v>
      </c>
      <c r="M33" s="6">
        <f t="shared" si="3"/>
        <v>117.824</v>
      </c>
      <c r="N33" s="5">
        <f t="shared" si="4"/>
        <v>117.824</v>
      </c>
      <c r="P33" s="5"/>
    </row>
    <row r="34" spans="1:16" x14ac:dyDescent="0.25">
      <c r="A34" s="34"/>
      <c r="B34" s="4" t="s">
        <v>33</v>
      </c>
      <c r="C34" s="2" t="str">
        <f t="shared" si="0"/>
        <v>□184×16×450</v>
      </c>
      <c r="D34" s="2">
        <v>16</v>
      </c>
      <c r="E34" s="3">
        <f t="shared" si="5"/>
        <v>10.39968</v>
      </c>
      <c r="F34" s="3">
        <f t="shared" si="1"/>
        <v>166.39488</v>
      </c>
      <c r="I34" s="1">
        <v>184</v>
      </c>
      <c r="J34" s="1">
        <v>16</v>
      </c>
      <c r="K34" s="5">
        <v>450</v>
      </c>
      <c r="M34" s="6">
        <f t="shared" si="3"/>
        <v>0.1656</v>
      </c>
      <c r="N34" s="5">
        <f t="shared" si="4"/>
        <v>2.6496</v>
      </c>
      <c r="P34" s="5"/>
    </row>
    <row r="35" spans="1:16" x14ac:dyDescent="0.25">
      <c r="A35" s="34"/>
      <c r="B35" s="4" t="s">
        <v>34</v>
      </c>
      <c r="C35" s="2" t="str">
        <f t="shared" si="0"/>
        <v>□176×16×450</v>
      </c>
      <c r="D35" s="2">
        <v>12</v>
      </c>
      <c r="E35" s="3">
        <f t="shared" si="5"/>
        <v>9.9475200000000008</v>
      </c>
      <c r="F35" s="3">
        <f t="shared" si="1"/>
        <v>119.37024000000001</v>
      </c>
      <c r="I35" s="1">
        <v>176</v>
      </c>
      <c r="J35" s="1">
        <v>16</v>
      </c>
      <c r="K35" s="5">
        <v>450</v>
      </c>
      <c r="M35" s="6">
        <f t="shared" si="3"/>
        <v>0.15840000000000001</v>
      </c>
      <c r="N35" s="5">
        <f t="shared" si="4"/>
        <v>1.9008000000000003</v>
      </c>
      <c r="P35" s="5"/>
    </row>
    <row r="36" spans="1:16" x14ac:dyDescent="0.25">
      <c r="A36" s="34" t="s">
        <v>173</v>
      </c>
      <c r="B36" s="4" t="s">
        <v>17</v>
      </c>
      <c r="C36" s="2" t="str">
        <f t="shared" si="0"/>
        <v>□2384×12×19864</v>
      </c>
      <c r="D36" s="2">
        <v>7</v>
      </c>
      <c r="E36" s="3">
        <f t="shared" si="5"/>
        <v>4011.95675345376</v>
      </c>
      <c r="F36" s="3">
        <f t="shared" si="1"/>
        <v>28083.69727417632</v>
      </c>
      <c r="I36" s="1">
        <v>2384</v>
      </c>
      <c r="J36" s="1">
        <v>12</v>
      </c>
      <c r="K36" s="5">
        <v>19864</v>
      </c>
      <c r="L36" s="1">
        <f>2*21294887.2264</f>
        <v>42589774.452799998</v>
      </c>
      <c r="M36" s="6">
        <f t="shared" si="3"/>
        <v>85.179548905600001</v>
      </c>
      <c r="N36" s="5">
        <f t="shared" si="4"/>
        <v>596.25684233920003</v>
      </c>
      <c r="P36" s="5"/>
    </row>
    <row r="37" spans="1:16" x14ac:dyDescent="0.25">
      <c r="A37" s="34"/>
      <c r="B37" s="4" t="s">
        <v>18</v>
      </c>
      <c r="C37" s="2" t="str">
        <f t="shared" si="0"/>
        <v>□2241×28×3138</v>
      </c>
      <c r="D37" s="2">
        <v>2</v>
      </c>
      <c r="E37" s="3">
        <f t="shared" si="5"/>
        <v>1315.3227769022599</v>
      </c>
      <c r="F37" s="3">
        <f t="shared" si="1"/>
        <v>2630.6455538045197</v>
      </c>
      <c r="I37" s="1">
        <v>2241</v>
      </c>
      <c r="J37" s="1">
        <v>28</v>
      </c>
      <c r="K37" s="5">
        <v>3138</v>
      </c>
      <c r="L37" s="1">
        <v>5984180.0586999999</v>
      </c>
      <c r="M37" s="6">
        <f t="shared" si="3"/>
        <v>11.9683601174</v>
      </c>
      <c r="N37" s="5">
        <f t="shared" si="4"/>
        <v>23.936720234799999</v>
      </c>
      <c r="P37" s="5"/>
    </row>
    <row r="38" spans="1:16" x14ac:dyDescent="0.25">
      <c r="A38" s="34"/>
      <c r="B38" s="4" t="s">
        <v>167</v>
      </c>
      <c r="C38" s="2" t="str">
        <f t="shared" ref="C38:C47" si="6">CONCATENATE("□",I38,"×",J38,"×",K38)</f>
        <v>□2190×28×2889</v>
      </c>
      <c r="D38" s="2">
        <v>2</v>
      </c>
      <c r="E38" s="3">
        <f t="shared" ref="E38:E47" si="7">IF(L38&gt;0,(L38*J38/1000000000*7850),(I38*J38*K38/1000000000*7850))</f>
        <v>709.24328898682006</v>
      </c>
      <c r="F38" s="3">
        <f t="shared" ref="F38:F47" si="8">D38*E38</f>
        <v>1418.4865779736401</v>
      </c>
      <c r="I38" s="1">
        <v>2190</v>
      </c>
      <c r="J38" s="1">
        <v>28</v>
      </c>
      <c r="K38" s="5">
        <v>2889</v>
      </c>
      <c r="L38" s="1">
        <v>3226766.5559</v>
      </c>
      <c r="M38" s="6">
        <f t="shared" si="3"/>
        <v>6.4535331117999997</v>
      </c>
      <c r="N38" s="5">
        <f t="shared" si="4"/>
        <v>12.907066223599999</v>
      </c>
      <c r="P38" s="5"/>
    </row>
    <row r="39" spans="1:16" x14ac:dyDescent="0.25">
      <c r="A39" s="34"/>
      <c r="B39" s="4" t="s">
        <v>168</v>
      </c>
      <c r="C39" s="2" t="str">
        <f t="shared" si="6"/>
        <v>□2241×12×6335</v>
      </c>
      <c r="D39" s="2">
        <v>2</v>
      </c>
      <c r="E39" s="3">
        <f t="shared" si="7"/>
        <v>961.9358706037799</v>
      </c>
      <c r="F39" s="3">
        <f t="shared" si="8"/>
        <v>1923.8717412075598</v>
      </c>
      <c r="I39" s="1">
        <v>2241</v>
      </c>
      <c r="J39" s="1">
        <v>12</v>
      </c>
      <c r="K39" s="5">
        <v>6335</v>
      </c>
      <c r="L39" s="1">
        <f>11217890.0408-1006256.5949</f>
        <v>10211633.445899999</v>
      </c>
      <c r="M39" s="6">
        <f t="shared" si="3"/>
        <v>20.423266891799997</v>
      </c>
      <c r="N39" s="5">
        <f t="shared" si="4"/>
        <v>40.846533783599995</v>
      </c>
      <c r="P39" s="5"/>
    </row>
    <row r="40" spans="1:16" x14ac:dyDescent="0.25">
      <c r="A40" s="34"/>
      <c r="B40" s="4" t="s">
        <v>43</v>
      </c>
      <c r="C40" s="2" t="str">
        <f t="shared" si="6"/>
        <v>□2241×12×6860</v>
      </c>
      <c r="D40" s="2">
        <v>2</v>
      </c>
      <c r="E40" s="3">
        <f t="shared" si="7"/>
        <v>1018.30169270076</v>
      </c>
      <c r="F40" s="3">
        <f t="shared" si="8"/>
        <v>2036.60338540152</v>
      </c>
      <c r="I40" s="1">
        <v>2241</v>
      </c>
      <c r="J40" s="1">
        <v>12</v>
      </c>
      <c r="K40" s="5">
        <v>6860</v>
      </c>
      <c r="L40" s="1">
        <v>10809996.7378</v>
      </c>
      <c r="M40" s="6">
        <f t="shared" si="3"/>
        <v>21.619993475600001</v>
      </c>
      <c r="N40" s="5">
        <f t="shared" si="4"/>
        <v>43.239986951200002</v>
      </c>
      <c r="P40" s="5"/>
    </row>
    <row r="41" spans="1:16" x14ac:dyDescent="0.25">
      <c r="A41" s="34"/>
      <c r="B41" s="4" t="s">
        <v>161</v>
      </c>
      <c r="C41" s="2" t="str">
        <f t="shared" si="6"/>
        <v>□2241×28×3139</v>
      </c>
      <c r="D41" s="2">
        <v>2</v>
      </c>
      <c r="E41" s="3">
        <f t="shared" si="7"/>
        <v>1313.37982811854</v>
      </c>
      <c r="F41" s="3">
        <f t="shared" si="8"/>
        <v>2626.75965623708</v>
      </c>
      <c r="I41" s="1">
        <v>2241</v>
      </c>
      <c r="J41" s="1">
        <v>28</v>
      </c>
      <c r="K41" s="5">
        <v>3139</v>
      </c>
      <c r="L41" s="1">
        <v>5975340.4373000003</v>
      </c>
      <c r="M41" s="6">
        <f t="shared" si="3"/>
        <v>11.950680874600002</v>
      </c>
      <c r="N41" s="5">
        <f t="shared" si="4"/>
        <v>23.901361749200003</v>
      </c>
      <c r="P41" s="5"/>
    </row>
    <row r="42" spans="1:16" x14ac:dyDescent="0.25">
      <c r="A42" s="34"/>
      <c r="B42" s="4" t="s">
        <v>165</v>
      </c>
      <c r="C42" s="2" t="str">
        <f t="shared" si="6"/>
        <v>□2190×28×3937</v>
      </c>
      <c r="D42" s="2">
        <v>2</v>
      </c>
      <c r="E42" s="3">
        <f t="shared" si="7"/>
        <v>1197.1310671111401</v>
      </c>
      <c r="F42" s="3">
        <f t="shared" si="8"/>
        <v>2394.2621342222801</v>
      </c>
      <c r="I42" s="1">
        <v>2190</v>
      </c>
      <c r="J42" s="1">
        <v>28</v>
      </c>
      <c r="K42" s="5">
        <v>3937</v>
      </c>
      <c r="L42" s="1">
        <v>5446456.1743000001</v>
      </c>
      <c r="M42" s="6">
        <f t="shared" si="3"/>
        <v>10.892912348599999</v>
      </c>
      <c r="N42" s="5">
        <f t="shared" si="4"/>
        <v>21.785824697199999</v>
      </c>
      <c r="P42" s="5"/>
    </row>
    <row r="43" spans="1:16" x14ac:dyDescent="0.25">
      <c r="A43" s="34"/>
      <c r="B43" s="4" t="s">
        <v>166</v>
      </c>
      <c r="C43" s="2" t="str">
        <f t="shared" si="6"/>
        <v>□2179×12×4207</v>
      </c>
      <c r="D43" s="2">
        <v>2</v>
      </c>
      <c r="E43" s="3">
        <f t="shared" si="7"/>
        <v>692.57593332354008</v>
      </c>
      <c r="F43" s="3">
        <f t="shared" si="8"/>
        <v>1385.1518666470802</v>
      </c>
      <c r="I43" s="1">
        <v>2179</v>
      </c>
      <c r="J43" s="1">
        <v>12</v>
      </c>
      <c r="K43" s="5">
        <v>4207</v>
      </c>
      <c r="L43" s="1">
        <f>8358442.7236-1006256.5949</f>
        <v>7352186.1287000002</v>
      </c>
      <c r="M43" s="6">
        <f t="shared" si="3"/>
        <v>14.704372257400001</v>
      </c>
      <c r="N43" s="5">
        <f t="shared" si="4"/>
        <v>29.408744514800002</v>
      </c>
      <c r="P43" s="5"/>
    </row>
    <row r="44" spans="1:16" x14ac:dyDescent="0.25">
      <c r="A44" s="34"/>
      <c r="B44" s="4" t="s">
        <v>179</v>
      </c>
      <c r="C44" s="2" t="str">
        <f>CONCATENATE("□",I44,"×",J44,"×",K44)</f>
        <v>□2179×12×3681</v>
      </c>
      <c r="D44" s="2">
        <v>2</v>
      </c>
      <c r="E44" s="3">
        <f>IF(L44&gt;0,(L44*J44/1000000000*7850),(I44*J44*K44/1000000000*7850))</f>
        <v>468.19877610719999</v>
      </c>
      <c r="F44" s="3">
        <f>D44*E44</f>
        <v>936.39755221439998</v>
      </c>
      <c r="I44" s="1">
        <v>2179</v>
      </c>
      <c r="J44" s="1">
        <v>12</v>
      </c>
      <c r="K44" s="5">
        <v>3681</v>
      </c>
      <c r="L44" s="1">
        <f>5618168.7453-647905.7293</f>
        <v>4970263.0159999998</v>
      </c>
      <c r="M44" s="6">
        <f t="shared" si="3"/>
        <v>9.9405260319999993</v>
      </c>
      <c r="N44" s="5">
        <f t="shared" si="4"/>
        <v>19.881052063999999</v>
      </c>
      <c r="P44" s="5"/>
    </row>
    <row r="45" spans="1:16" x14ac:dyDescent="0.25">
      <c r="A45" s="34"/>
      <c r="B45" s="4" t="s">
        <v>163</v>
      </c>
      <c r="C45" s="2" t="str">
        <f t="shared" si="6"/>
        <v>□2179×12×4207</v>
      </c>
      <c r="D45" s="2">
        <v>2</v>
      </c>
      <c r="E45" s="3">
        <f t="shared" si="7"/>
        <v>692.57593332354008</v>
      </c>
      <c r="F45" s="3">
        <f t="shared" si="8"/>
        <v>1385.1518666470802</v>
      </c>
      <c r="I45" s="1">
        <v>2179</v>
      </c>
      <c r="J45" s="1">
        <v>12</v>
      </c>
      <c r="K45" s="5">
        <v>4207</v>
      </c>
      <c r="L45" s="1">
        <f>8358442.7236-1006256.5949</f>
        <v>7352186.1287000002</v>
      </c>
      <c r="M45" s="6">
        <f t="shared" si="3"/>
        <v>14.704372257400001</v>
      </c>
      <c r="N45" s="5">
        <f t="shared" si="4"/>
        <v>29.408744514800002</v>
      </c>
      <c r="P45" s="5"/>
    </row>
    <row r="46" spans="1:16" x14ac:dyDescent="0.25">
      <c r="A46" s="34"/>
      <c r="B46" s="4" t="s">
        <v>180</v>
      </c>
      <c r="C46" s="2" t="str">
        <f>CONCATENATE("□",I46,"×",J46,"×",K46)</f>
        <v>□2179×12×4206</v>
      </c>
      <c r="D46" s="2">
        <v>2</v>
      </c>
      <c r="E46" s="3">
        <f>IF(L46&gt;0,(L46*J46/1000000000*7850),(I46*J46*K46/1000000000*7850))</f>
        <v>574.88865174948</v>
      </c>
      <c r="F46" s="3">
        <f>D46*E46</f>
        <v>1149.77730349896</v>
      </c>
      <c r="I46" s="1">
        <v>2179</v>
      </c>
      <c r="J46" s="1">
        <v>12</v>
      </c>
      <c r="K46" s="5">
        <v>4206</v>
      </c>
      <c r="L46" s="1">
        <f>6750757.6587-647905.7293</f>
        <v>6102851.9293999998</v>
      </c>
      <c r="M46" s="6">
        <f t="shared" si="3"/>
        <v>12.2057038588</v>
      </c>
      <c r="N46" s="5">
        <f t="shared" si="4"/>
        <v>24.4114077176</v>
      </c>
      <c r="P46" s="5"/>
    </row>
    <row r="47" spans="1:16" x14ac:dyDescent="0.25">
      <c r="A47" s="34"/>
      <c r="B47" s="4" t="s">
        <v>164</v>
      </c>
      <c r="C47" s="2" t="str">
        <f t="shared" si="6"/>
        <v>□2241×28×3139</v>
      </c>
      <c r="D47" s="2">
        <v>2</v>
      </c>
      <c r="E47" s="3">
        <f t="shared" si="7"/>
        <v>1313.1683715506999</v>
      </c>
      <c r="F47" s="3">
        <f t="shared" si="8"/>
        <v>2626.3367431013999</v>
      </c>
      <c r="I47" s="1">
        <v>2241</v>
      </c>
      <c r="J47" s="1">
        <v>28</v>
      </c>
      <c r="K47" s="5">
        <v>3139</v>
      </c>
      <c r="L47" s="1">
        <v>5974378.3964999998</v>
      </c>
      <c r="M47" s="6">
        <f t="shared" si="3"/>
        <v>11.948756792999999</v>
      </c>
      <c r="N47" s="5">
        <f t="shared" si="4"/>
        <v>23.897513585999999</v>
      </c>
      <c r="P47" s="5"/>
    </row>
    <row r="48" spans="1:16" x14ac:dyDescent="0.25">
      <c r="A48" s="34"/>
      <c r="B48" s="4" t="s">
        <v>169</v>
      </c>
      <c r="C48" s="2" t="str">
        <f>CONCATENATE("□",I48,"×",J48,"×",K48)</f>
        <v>□760×28×2179</v>
      </c>
      <c r="D48" s="2">
        <v>2</v>
      </c>
      <c r="E48" s="3">
        <f>IF(L48&gt;0,(L48*J48/1000000000*7850),(I48*J48*K48/1000000000*7850))</f>
        <v>185.09473496108001</v>
      </c>
      <c r="F48" s="3">
        <f>D48*E48</f>
        <v>370.18946992216001</v>
      </c>
      <c r="I48" s="1">
        <v>760</v>
      </c>
      <c r="J48" s="1">
        <v>28</v>
      </c>
      <c r="K48" s="5">
        <v>2179</v>
      </c>
      <c r="L48" s="1">
        <v>842105.25459999999</v>
      </c>
      <c r="M48" s="6">
        <f t="shared" si="3"/>
        <v>1.6842105091999999</v>
      </c>
      <c r="N48" s="5">
        <f t="shared" si="4"/>
        <v>3.3684210183999999</v>
      </c>
      <c r="P48" s="5"/>
    </row>
    <row r="49" spans="1:16" x14ac:dyDescent="0.25">
      <c r="A49" s="34"/>
      <c r="B49" s="4" t="s">
        <v>182</v>
      </c>
      <c r="C49" s="2" t="str">
        <f>CONCATENATE("□",I49,"×",J49,"×",K49)</f>
        <v>□2179×28×4730</v>
      </c>
      <c r="D49" s="2">
        <v>2</v>
      </c>
      <c r="E49" s="3">
        <f>IF(L49&gt;0,(L49*J49/1000000000*7850),(I49*J49*K49/1000000000*7850))</f>
        <v>1606.0278735669001</v>
      </c>
      <c r="F49" s="3">
        <f>D49*E49</f>
        <v>3212.0557471338002</v>
      </c>
      <c r="I49" s="1">
        <v>2179</v>
      </c>
      <c r="J49" s="1">
        <v>28</v>
      </c>
      <c r="K49" s="5">
        <v>4730</v>
      </c>
      <c r="L49" s="1">
        <v>7306769.2154999999</v>
      </c>
      <c r="M49" s="6">
        <f t="shared" si="3"/>
        <v>14.613538431</v>
      </c>
      <c r="N49" s="5">
        <f t="shared" si="4"/>
        <v>29.227076862000001</v>
      </c>
      <c r="P49" s="5"/>
    </row>
    <row r="50" spans="1:16" x14ac:dyDescent="0.25">
      <c r="A50" s="34"/>
      <c r="B50" s="4" t="s">
        <v>171</v>
      </c>
      <c r="C50" s="15" t="str">
        <f>CONCATENATE("□",I50,"×",J50,"×",K50,"(平均)")</f>
        <v>□4316×12×1018(平均)</v>
      </c>
      <c r="D50" s="2">
        <v>14</v>
      </c>
      <c r="E50" s="3">
        <f>IF(L50&gt;0,(L50*J50/1000000000*7850),(I50*J50*K50/1000000000*7850))</f>
        <v>194.68070623938002</v>
      </c>
      <c r="F50" s="3">
        <f>D50*E50</f>
        <v>2725.5298873513202</v>
      </c>
      <c r="I50" s="1">
        <v>4316</v>
      </c>
      <c r="J50" s="1">
        <v>12</v>
      </c>
      <c r="K50" s="5">
        <v>1018</v>
      </c>
      <c r="L50" s="1">
        <f>(2530150.5372+1603197.7906)/2</f>
        <v>2066674.1639</v>
      </c>
      <c r="M50" s="6">
        <f t="shared" si="3"/>
        <v>4.1333483278000003</v>
      </c>
      <c r="N50" s="5">
        <f t="shared" si="4"/>
        <v>57.866876589200004</v>
      </c>
      <c r="P50" s="5"/>
    </row>
    <row r="51" spans="1:16" x14ac:dyDescent="0.25">
      <c r="A51" s="40" t="s">
        <v>172</v>
      </c>
      <c r="B51" s="4" t="s">
        <v>20</v>
      </c>
      <c r="C51" s="2" t="str">
        <f t="shared" ref="C51:C56" si="9">CONCATENATE("□",I51,"×",J51,"×",K51)</f>
        <v>□140×12×19180</v>
      </c>
      <c r="D51" s="2">
        <v>14</v>
      </c>
      <c r="E51" s="3">
        <f t="shared" ref="E51:E68" si="10">IF(L51&gt;0,(L51*J51/1000000000*7850),(I51*J51*K51/1000000000*7850))</f>
        <v>252.94583999999998</v>
      </c>
      <c r="F51" s="3">
        <f t="shared" si="1"/>
        <v>3541.2417599999999</v>
      </c>
      <c r="I51" s="1">
        <v>140</v>
      </c>
      <c r="J51" s="1">
        <v>12</v>
      </c>
      <c r="K51" s="1">
        <f>9590*2</f>
        <v>19180</v>
      </c>
      <c r="M51" s="6">
        <f t="shared" si="3"/>
        <v>5.3704000000000001</v>
      </c>
      <c r="N51" s="5">
        <f t="shared" si="4"/>
        <v>75.185599999999994</v>
      </c>
    </row>
    <row r="52" spans="1:16" x14ac:dyDescent="0.25">
      <c r="A52" s="40"/>
      <c r="B52" s="4" t="s">
        <v>21</v>
      </c>
      <c r="C52" s="2" t="str">
        <f t="shared" si="9"/>
        <v>□180×12×1884</v>
      </c>
      <c r="D52" s="2">
        <v>28</v>
      </c>
      <c r="E52" s="3">
        <f t="shared" si="10"/>
        <v>31.945103999999997</v>
      </c>
      <c r="F52" s="3">
        <f t="shared" si="1"/>
        <v>894.46291199999996</v>
      </c>
      <c r="I52" s="1">
        <v>180</v>
      </c>
      <c r="J52" s="1">
        <v>12</v>
      </c>
      <c r="K52" s="1">
        <v>1884</v>
      </c>
      <c r="M52" s="6">
        <f t="shared" si="3"/>
        <v>0.67823999999999995</v>
      </c>
      <c r="N52" s="5">
        <f t="shared" si="4"/>
        <v>18.99072</v>
      </c>
    </row>
    <row r="53" spans="1:16" x14ac:dyDescent="0.25">
      <c r="A53" s="40"/>
      <c r="B53" s="4" t="s">
        <v>22</v>
      </c>
      <c r="C53" s="2" t="str">
        <f t="shared" si="9"/>
        <v>□180×12×1857</v>
      </c>
      <c r="D53" s="2">
        <v>28</v>
      </c>
      <c r="E53" s="3">
        <f t="shared" si="10"/>
        <v>31.487292</v>
      </c>
      <c r="F53" s="3">
        <f t="shared" si="1"/>
        <v>881.64417600000002</v>
      </c>
      <c r="I53" s="1">
        <v>180</v>
      </c>
      <c r="J53" s="1">
        <v>12</v>
      </c>
      <c r="K53" s="1">
        <v>1857</v>
      </c>
      <c r="M53" s="6">
        <f t="shared" si="3"/>
        <v>0.66852</v>
      </c>
      <c r="N53" s="5">
        <f t="shared" si="4"/>
        <v>18.71856</v>
      </c>
    </row>
    <row r="54" spans="1:16" x14ac:dyDescent="0.25">
      <c r="A54" s="40"/>
      <c r="B54" s="4" t="s">
        <v>35</v>
      </c>
      <c r="C54" s="2" t="str">
        <f t="shared" si="9"/>
        <v>□180×12×1830</v>
      </c>
      <c r="D54" s="2">
        <v>28</v>
      </c>
      <c r="E54" s="3">
        <f t="shared" si="10"/>
        <v>31.029480000000003</v>
      </c>
      <c r="F54" s="3">
        <f t="shared" si="1"/>
        <v>868.82544000000007</v>
      </c>
      <c r="I54" s="1">
        <v>180</v>
      </c>
      <c r="J54" s="1">
        <v>12</v>
      </c>
      <c r="K54" s="1">
        <v>1830</v>
      </c>
      <c r="M54" s="6">
        <f t="shared" si="3"/>
        <v>0.65880000000000005</v>
      </c>
      <c r="N54" s="5">
        <f t="shared" si="4"/>
        <v>18.446400000000001</v>
      </c>
    </row>
    <row r="55" spans="1:16" x14ac:dyDescent="0.25">
      <c r="A55" s="40"/>
      <c r="B55" s="4" t="s">
        <v>36</v>
      </c>
      <c r="C55" s="2" t="str">
        <f t="shared" si="9"/>
        <v>□180×12×1803</v>
      </c>
      <c r="D55" s="2">
        <v>28</v>
      </c>
      <c r="E55" s="3">
        <f t="shared" si="10"/>
        <v>30.571667999999999</v>
      </c>
      <c r="F55" s="3">
        <f t="shared" si="1"/>
        <v>856.00670400000001</v>
      </c>
      <c r="I55" s="1">
        <v>180</v>
      </c>
      <c r="J55" s="1">
        <v>12</v>
      </c>
      <c r="K55" s="1">
        <v>1803</v>
      </c>
      <c r="M55" s="6">
        <f t="shared" si="3"/>
        <v>0.64907999999999999</v>
      </c>
      <c r="N55" s="5">
        <f t="shared" si="4"/>
        <v>18.174240000000001</v>
      </c>
    </row>
    <row r="56" spans="1:16" x14ac:dyDescent="0.25">
      <c r="A56" s="40"/>
      <c r="B56" s="4" t="s">
        <v>48</v>
      </c>
      <c r="C56" s="2" t="str">
        <f t="shared" si="9"/>
        <v>□180×12×1776</v>
      </c>
      <c r="D56" s="2">
        <v>28</v>
      </c>
      <c r="E56" s="3">
        <f t="shared" si="10"/>
        <v>30.113855999999998</v>
      </c>
      <c r="F56" s="3">
        <f t="shared" si="1"/>
        <v>843.18796799999996</v>
      </c>
      <c r="I56" s="1">
        <v>180</v>
      </c>
      <c r="J56" s="1">
        <v>12</v>
      </c>
      <c r="K56" s="1">
        <v>1776</v>
      </c>
      <c r="M56" s="6">
        <f t="shared" si="3"/>
        <v>0.63936000000000004</v>
      </c>
      <c r="N56" s="5">
        <f t="shared" si="4"/>
        <v>17.902080000000002</v>
      </c>
    </row>
    <row r="57" spans="1:16" x14ac:dyDescent="0.25">
      <c r="A57" s="40"/>
      <c r="B57" s="4" t="s">
        <v>38</v>
      </c>
      <c r="C57" s="15" t="str">
        <f t="shared" ref="C57:C62" si="11">CONCATENATE("□",I57,"×",J57,"×",K57,"(平均)")</f>
        <v>□100×10×4178(平均)</v>
      </c>
      <c r="D57" s="2">
        <v>12</v>
      </c>
      <c r="E57" s="3">
        <f t="shared" si="10"/>
        <v>32.7973</v>
      </c>
      <c r="F57" s="3">
        <f t="shared" si="1"/>
        <v>393.56759999999997</v>
      </c>
      <c r="I57" s="1">
        <v>100</v>
      </c>
      <c r="J57" s="1">
        <v>10</v>
      </c>
      <c r="K57" s="1">
        <f>(2581+5775)/2</f>
        <v>4178</v>
      </c>
      <c r="M57" s="6">
        <f t="shared" si="3"/>
        <v>0.83560000000000001</v>
      </c>
      <c r="N57" s="5">
        <f t="shared" si="4"/>
        <v>10.027200000000001</v>
      </c>
    </row>
    <row r="58" spans="1:16" x14ac:dyDescent="0.25">
      <c r="A58" s="40"/>
      <c r="B58" s="4" t="s">
        <v>46</v>
      </c>
      <c r="C58" s="15" t="str">
        <f t="shared" si="11"/>
        <v>□100×10×2538(平均)</v>
      </c>
      <c r="D58" s="2">
        <v>24</v>
      </c>
      <c r="E58" s="3">
        <f t="shared" si="10"/>
        <v>19.923299999999998</v>
      </c>
      <c r="F58" s="3">
        <f t="shared" si="1"/>
        <v>478.15919999999994</v>
      </c>
      <c r="I58" s="1">
        <v>100</v>
      </c>
      <c r="J58" s="1">
        <v>10</v>
      </c>
      <c r="K58" s="1">
        <f>(1500+3576)/2</f>
        <v>2538</v>
      </c>
      <c r="M58" s="6">
        <f t="shared" si="3"/>
        <v>0.50760000000000005</v>
      </c>
      <c r="N58" s="5">
        <f t="shared" si="4"/>
        <v>12.182400000000001</v>
      </c>
    </row>
    <row r="59" spans="1:16" x14ac:dyDescent="0.25">
      <c r="A59" s="40"/>
      <c r="B59" s="4" t="s">
        <v>39</v>
      </c>
      <c r="C59" s="15" t="str">
        <f t="shared" si="11"/>
        <v>□100×10×2882(平均)</v>
      </c>
      <c r="D59" s="2">
        <f>D57</f>
        <v>12</v>
      </c>
      <c r="E59" s="3">
        <f t="shared" si="10"/>
        <v>22.623699999999999</v>
      </c>
      <c r="F59" s="3">
        <f t="shared" si="1"/>
        <v>271.48439999999999</v>
      </c>
      <c r="I59" s="1">
        <v>100</v>
      </c>
      <c r="J59" s="1">
        <v>10</v>
      </c>
      <c r="K59" s="1">
        <f>(1423+4341)/2</f>
        <v>2882</v>
      </c>
      <c r="M59" s="6">
        <f t="shared" si="3"/>
        <v>0.57640000000000002</v>
      </c>
      <c r="N59" s="5">
        <f t="shared" si="4"/>
        <v>6.9168000000000003</v>
      </c>
    </row>
    <row r="60" spans="1:16" x14ac:dyDescent="0.25">
      <c r="A60" s="40"/>
      <c r="B60" s="4" t="s">
        <v>49</v>
      </c>
      <c r="C60" s="15" t="str">
        <f t="shared" si="11"/>
        <v>□100×10×1676(平均)</v>
      </c>
      <c r="D60" s="2">
        <v>16</v>
      </c>
      <c r="E60" s="3">
        <f t="shared" si="10"/>
        <v>13.156599999999999</v>
      </c>
      <c r="F60" s="3">
        <f t="shared" si="1"/>
        <v>210.50559999999999</v>
      </c>
      <c r="I60" s="1">
        <v>100</v>
      </c>
      <c r="J60" s="1">
        <v>10</v>
      </c>
      <c r="K60" s="1">
        <f>(920+2432)/2</f>
        <v>1676</v>
      </c>
      <c r="M60" s="6">
        <f t="shared" si="3"/>
        <v>0.3352</v>
      </c>
      <c r="N60" s="5">
        <f t="shared" si="4"/>
        <v>5.3632</v>
      </c>
    </row>
    <row r="61" spans="1:16" x14ac:dyDescent="0.25">
      <c r="A61" s="40"/>
      <c r="B61" s="4" t="s">
        <v>40</v>
      </c>
      <c r="C61" s="15" t="str">
        <f t="shared" si="11"/>
        <v>□100×10×1502(平均)</v>
      </c>
      <c r="D61" s="2">
        <v>44</v>
      </c>
      <c r="E61" s="3">
        <f t="shared" si="10"/>
        <v>11.790700000000001</v>
      </c>
      <c r="F61" s="3">
        <f t="shared" si="1"/>
        <v>518.79079999999999</v>
      </c>
      <c r="I61" s="1">
        <v>100</v>
      </c>
      <c r="J61" s="1">
        <v>10</v>
      </c>
      <c r="K61" s="1">
        <f>(1267+1737)/2</f>
        <v>1502</v>
      </c>
      <c r="M61" s="6">
        <f t="shared" si="3"/>
        <v>0.3004</v>
      </c>
      <c r="N61" s="5">
        <f t="shared" si="4"/>
        <v>13.217600000000001</v>
      </c>
    </row>
    <row r="62" spans="1:16" x14ac:dyDescent="0.25">
      <c r="A62" s="40"/>
      <c r="B62" s="4" t="s">
        <v>50</v>
      </c>
      <c r="C62" s="15" t="str">
        <f t="shared" si="11"/>
        <v>□100×10×1427(平均)</v>
      </c>
      <c r="D62" s="2">
        <v>52</v>
      </c>
      <c r="E62" s="3">
        <f t="shared" si="10"/>
        <v>11.20195</v>
      </c>
      <c r="F62" s="3">
        <f t="shared" si="1"/>
        <v>582.50139999999999</v>
      </c>
      <c r="I62" s="1">
        <v>100</v>
      </c>
      <c r="J62" s="1">
        <v>10</v>
      </c>
      <c r="K62" s="1">
        <f>(1138+1716)/2</f>
        <v>1427</v>
      </c>
      <c r="M62" s="6">
        <f t="shared" si="3"/>
        <v>0.28539999999999999</v>
      </c>
      <c r="N62" s="5">
        <f t="shared" si="4"/>
        <v>14.8408</v>
      </c>
    </row>
    <row r="63" spans="1:16" x14ac:dyDescent="0.25">
      <c r="A63" s="40"/>
      <c r="B63" s="4" t="s">
        <v>41</v>
      </c>
      <c r="C63" s="2" t="str">
        <f>CONCATENATE("□",I63,"×",J63,"×",K63)</f>
        <v>□110×10×3748</v>
      </c>
      <c r="D63" s="2">
        <v>8</v>
      </c>
      <c r="E63" s="3">
        <f t="shared" si="10"/>
        <v>32.363980000000005</v>
      </c>
      <c r="F63" s="3">
        <f t="shared" si="1"/>
        <v>258.91184000000004</v>
      </c>
      <c r="I63" s="1">
        <v>110</v>
      </c>
      <c r="J63" s="1">
        <v>10</v>
      </c>
      <c r="K63" s="1">
        <v>3748</v>
      </c>
      <c r="M63" s="6">
        <f t="shared" si="3"/>
        <v>0.82455999999999996</v>
      </c>
      <c r="N63" s="5">
        <f t="shared" si="4"/>
        <v>6.5964799999999997</v>
      </c>
    </row>
    <row r="64" spans="1:16" x14ac:dyDescent="0.25">
      <c r="A64" s="40"/>
      <c r="B64" s="4" t="s">
        <v>57</v>
      </c>
      <c r="C64" s="2" t="str">
        <f>CONCATENATE("□",I64,"×",J64,"×",K64)</f>
        <v>□110×10×2996</v>
      </c>
      <c r="D64" s="2">
        <v>6</v>
      </c>
      <c r="E64" s="3">
        <f t="shared" si="10"/>
        <v>25.870460000000001</v>
      </c>
      <c r="F64" s="3">
        <f t="shared" si="1"/>
        <v>155.22275999999999</v>
      </c>
      <c r="I64" s="1">
        <v>110</v>
      </c>
      <c r="J64" s="1">
        <v>10</v>
      </c>
      <c r="K64" s="1">
        <v>2996</v>
      </c>
      <c r="M64" s="6">
        <f t="shared" si="3"/>
        <v>0.65912000000000004</v>
      </c>
      <c r="N64" s="5">
        <f t="shared" si="4"/>
        <v>3.95472</v>
      </c>
    </row>
    <row r="65" spans="1:14" x14ac:dyDescent="0.25">
      <c r="A65" s="40"/>
      <c r="B65" s="4" t="s">
        <v>58</v>
      </c>
      <c r="C65" s="15" t="str">
        <f>CONCATENATE("□",I65,"×",J65,"×",K65,"(平均)")</f>
        <v>□550×24×3504(平均)</v>
      </c>
      <c r="D65" s="2">
        <v>6</v>
      </c>
      <c r="E65" s="16">
        <f t="shared" si="10"/>
        <v>363.08447999999999</v>
      </c>
      <c r="F65" s="3">
        <f t="shared" si="1"/>
        <v>2178.5068799999999</v>
      </c>
      <c r="I65" s="1">
        <v>550</v>
      </c>
      <c r="J65" s="1">
        <v>24</v>
      </c>
      <c r="K65" s="1">
        <v>3504</v>
      </c>
      <c r="M65" s="6">
        <f t="shared" si="3"/>
        <v>3.8544</v>
      </c>
      <c r="N65" s="5">
        <f t="shared" si="4"/>
        <v>23.1264</v>
      </c>
    </row>
    <row r="66" spans="1:14" x14ac:dyDescent="0.25">
      <c r="A66" s="40"/>
      <c r="B66" s="4" t="s">
        <v>42</v>
      </c>
      <c r="C66" s="2" t="str">
        <f>CONCATENATE("□",I66,"×",J66,"×",K66)</f>
        <v>□134×12×300</v>
      </c>
      <c r="D66" s="2">
        <v>28</v>
      </c>
      <c r="E66" s="3">
        <f t="shared" si="10"/>
        <v>3.7868400000000002</v>
      </c>
      <c r="F66" s="3">
        <f t="shared" si="1"/>
        <v>106.03152</v>
      </c>
      <c r="I66" s="1">
        <v>134</v>
      </c>
      <c r="J66" s="1">
        <v>12</v>
      </c>
      <c r="K66" s="1">
        <v>300</v>
      </c>
      <c r="M66" s="6">
        <f t="shared" si="3"/>
        <v>8.0399999999999999E-2</v>
      </c>
      <c r="N66" s="5">
        <f t="shared" si="4"/>
        <v>2.2511999999999999</v>
      </c>
    </row>
    <row r="67" spans="1:14" x14ac:dyDescent="0.25">
      <c r="A67" s="40"/>
      <c r="B67" s="4" t="s">
        <v>59</v>
      </c>
      <c r="C67" s="2" t="str">
        <f>CONCATENATE("□",I67,"×",J67,"×",K67)</f>
        <v>□134×12×400</v>
      </c>
      <c r="D67" s="2">
        <v>28</v>
      </c>
      <c r="E67" s="3">
        <f t="shared" si="10"/>
        <v>5.0491200000000003</v>
      </c>
      <c r="F67" s="3">
        <f t="shared" si="1"/>
        <v>141.37536</v>
      </c>
      <c r="I67" s="1">
        <v>134</v>
      </c>
      <c r="J67" s="1">
        <v>12</v>
      </c>
      <c r="K67" s="1">
        <v>400</v>
      </c>
      <c r="M67" s="6">
        <f t="shared" si="3"/>
        <v>0.1072</v>
      </c>
      <c r="N67" s="5">
        <f t="shared" si="4"/>
        <v>3.0016000000000003</v>
      </c>
    </row>
    <row r="68" spans="1:14" x14ac:dyDescent="0.25">
      <c r="A68" s="34" t="s">
        <v>129</v>
      </c>
      <c r="B68" s="4" t="s">
        <v>28</v>
      </c>
      <c r="C68" s="2" t="str">
        <f>CONCATENATE("□",I68,"×",J68,"×",K68)</f>
        <v>□420×50×420</v>
      </c>
      <c r="D68" s="2">
        <v>6</v>
      </c>
      <c r="E68" s="3">
        <f t="shared" si="10"/>
        <v>69.236999999999995</v>
      </c>
      <c r="F68" s="3">
        <f t="shared" si="1"/>
        <v>415.42199999999997</v>
      </c>
      <c r="I68" s="1">
        <v>420</v>
      </c>
      <c r="J68" s="1">
        <v>50</v>
      </c>
      <c r="K68" s="1">
        <v>420</v>
      </c>
      <c r="M68" s="6">
        <f t="shared" si="3"/>
        <v>0.3528</v>
      </c>
      <c r="N68" s="5">
        <f t="shared" si="4"/>
        <v>2.1168</v>
      </c>
    </row>
    <row r="69" spans="1:14" x14ac:dyDescent="0.25">
      <c r="A69" s="34"/>
      <c r="B69" s="4" t="s">
        <v>29</v>
      </c>
      <c r="C69" s="14" t="str">
        <f>CONCATENATE("φ(内)",I69,"×",J69,"×",K69,"(平均)")</f>
        <v>φ(内)986×24×257(平均)</v>
      </c>
      <c r="D69" s="2">
        <v>6</v>
      </c>
      <c r="E69" s="16">
        <f>21186.9009*K69/1000000000*7850</f>
        <v>42.743513220704997</v>
      </c>
      <c r="F69" s="3">
        <f t="shared" si="1"/>
        <v>256.46107932423001</v>
      </c>
      <c r="I69" s="1">
        <f>1486-500</f>
        <v>986</v>
      </c>
      <c r="J69" s="1">
        <v>24</v>
      </c>
      <c r="K69" s="1">
        <v>257</v>
      </c>
      <c r="M69" s="6">
        <f t="shared" si="3"/>
        <v>0.50680400000000003</v>
      </c>
      <c r="N69" s="5">
        <f t="shared" si="4"/>
        <v>3.0408240000000002</v>
      </c>
    </row>
    <row r="70" spans="1:14" x14ac:dyDescent="0.25">
      <c r="A70" s="34"/>
      <c r="B70" s="4" t="s">
        <v>44</v>
      </c>
      <c r="C70" s="2" t="str">
        <f>CONCATENATE("□",I70,"×",J70,"×",K70)</f>
        <v>□100×16×700</v>
      </c>
      <c r="D70" s="2">
        <f>6*D69</f>
        <v>36</v>
      </c>
      <c r="E70" s="3">
        <f>IF(L70&gt;0,(L70*J70/1000000000*7850),(I70*J70*K70/1000000000*7850))</f>
        <v>8.0070000000000014</v>
      </c>
      <c r="F70" s="3">
        <f t="shared" si="1"/>
        <v>288.25200000000007</v>
      </c>
      <c r="I70" s="1">
        <v>100</v>
      </c>
      <c r="J70" s="1">
        <v>16</v>
      </c>
      <c r="K70" s="1">
        <v>700</v>
      </c>
      <c r="L70" s="1">
        <v>63750</v>
      </c>
      <c r="M70" s="6">
        <f t="shared" si="3"/>
        <v>0.1275</v>
      </c>
      <c r="N70" s="5">
        <f t="shared" si="4"/>
        <v>4.59</v>
      </c>
    </row>
    <row r="71" spans="1:14" x14ac:dyDescent="0.25">
      <c r="A71" s="37"/>
      <c r="B71" s="34" t="s">
        <v>23</v>
      </c>
      <c r="C71" s="34"/>
      <c r="D71" s="34"/>
      <c r="E71" s="34"/>
      <c r="F71" s="7">
        <f>SUM(F22:F70)</f>
        <v>286454.67044683918</v>
      </c>
    </row>
    <row r="72" spans="1:14" x14ac:dyDescent="0.25">
      <c r="A72" s="38"/>
      <c r="B72" s="34" t="s">
        <v>26</v>
      </c>
      <c r="C72" s="34"/>
      <c r="D72" s="34"/>
      <c r="E72" s="34"/>
      <c r="F72" s="8">
        <f>F71*0.015</f>
        <v>4296.8200567025879</v>
      </c>
    </row>
    <row r="73" spans="1:14" x14ac:dyDescent="0.25">
      <c r="A73" s="39"/>
      <c r="B73" s="34" t="s">
        <v>24</v>
      </c>
      <c r="C73" s="34"/>
      <c r="D73" s="34"/>
      <c r="E73" s="34"/>
      <c r="F73" s="7">
        <f>F71+F72</f>
        <v>290751.49050354178</v>
      </c>
    </row>
    <row r="81" spans="2:4" x14ac:dyDescent="0.25">
      <c r="B81" s="34" t="s">
        <v>98</v>
      </c>
      <c r="C81" s="4" t="s">
        <v>102</v>
      </c>
      <c r="D81" s="4" t="s">
        <v>99</v>
      </c>
    </row>
    <row r="82" spans="2:4" x14ac:dyDescent="0.25">
      <c r="B82" s="34"/>
      <c r="C82" s="4" t="s">
        <v>95</v>
      </c>
      <c r="D82" s="4" t="s">
        <v>113</v>
      </c>
    </row>
    <row r="83" spans="2:4" x14ac:dyDescent="0.25">
      <c r="B83" s="34" t="s">
        <v>103</v>
      </c>
      <c r="C83" s="4" t="s">
        <v>104</v>
      </c>
      <c r="D83" s="8">
        <f>SUMIF($J$22:$J$70,"10",$F$22:$F$70)</f>
        <v>2869.1436000000003</v>
      </c>
    </row>
    <row r="84" spans="2:4" x14ac:dyDescent="0.25">
      <c r="B84" s="34"/>
      <c r="C84" s="4" t="s">
        <v>105</v>
      </c>
      <c r="D84" s="8">
        <f>SUMIF($J$22:$J$70,"12",$F$22:$F$70)</f>
        <v>68799.751317144241</v>
      </c>
    </row>
    <row r="85" spans="2:4" x14ac:dyDescent="0.25">
      <c r="B85" s="34"/>
      <c r="C85" s="4" t="s">
        <v>106</v>
      </c>
      <c r="D85" s="8">
        <f>SUMIF($J$22:$J$70,"14",$F$22:$F$70)</f>
        <v>22893.137119999999</v>
      </c>
    </row>
    <row r="86" spans="2:4" x14ac:dyDescent="0.25">
      <c r="B86" s="34"/>
      <c r="C86" s="4" t="s">
        <v>107</v>
      </c>
      <c r="D86" s="8">
        <f>SUMIF($J$22:$J$70,"16",$F$22:$F$70)</f>
        <v>113717.43552486593</v>
      </c>
    </row>
    <row r="87" spans="2:4" x14ac:dyDescent="0.25">
      <c r="B87" s="34"/>
      <c r="C87" s="4" t="s">
        <v>223</v>
      </c>
      <c r="D87" s="8">
        <f>SUMIF($J$22:$J$70,"20",$F$22:$F$70)</f>
        <v>5649.0545281495988</v>
      </c>
    </row>
    <row r="88" spans="2:4" x14ac:dyDescent="0.25">
      <c r="B88" s="34"/>
      <c r="C88" s="4" t="s">
        <v>108</v>
      </c>
      <c r="D88" s="8">
        <f>SUMIF($J$22:$J$70,"24",$F$22:$F$70)</f>
        <v>5846.4096553242298</v>
      </c>
    </row>
    <row r="89" spans="2:4" x14ac:dyDescent="0.25">
      <c r="B89" s="34"/>
      <c r="C89" s="4" t="s">
        <v>109</v>
      </c>
      <c r="D89" s="8">
        <f>SUMIF($J$22:$J$70,"28",$F$22:$F$70)</f>
        <v>15278.73588239488</v>
      </c>
    </row>
    <row r="90" spans="2:4" x14ac:dyDescent="0.25">
      <c r="B90" s="34"/>
      <c r="C90" s="4" t="s">
        <v>222</v>
      </c>
      <c r="D90" s="8">
        <f>SUMIF($J$22:$J$70,"32",$F$22:$F$70)</f>
        <v>50448.568247280316</v>
      </c>
    </row>
    <row r="91" spans="2:4" x14ac:dyDescent="0.25">
      <c r="B91" s="34"/>
      <c r="C91" s="4" t="s">
        <v>110</v>
      </c>
      <c r="D91" s="8">
        <f>SUMIF($J$22:$J$70,"50",$F$22:$F$70)</f>
        <v>415.42199999999997</v>
      </c>
    </row>
    <row r="92" spans="2:4" x14ac:dyDescent="0.25">
      <c r="B92" s="34"/>
      <c r="C92" s="4" t="s">
        <v>111</v>
      </c>
      <c r="D92" s="8">
        <f>SUMIF($J$22:$J$70,"8",$F$22:$F$70)</f>
        <v>537.01257168000006</v>
      </c>
    </row>
    <row r="93" spans="2:4" x14ac:dyDescent="0.25">
      <c r="B93" s="34"/>
      <c r="C93" s="4" t="s">
        <v>112</v>
      </c>
      <c r="D93" s="8">
        <f>SUM(D83:D92)</f>
        <v>286454.67044683924</v>
      </c>
    </row>
    <row r="94" spans="2:4" x14ac:dyDescent="0.25">
      <c r="B94" s="34"/>
      <c r="C94" s="4" t="s">
        <v>114</v>
      </c>
      <c r="D94" s="8">
        <f>D93*0.015</f>
        <v>4296.8200567025888</v>
      </c>
    </row>
    <row r="95" spans="2:4" x14ac:dyDescent="0.25">
      <c r="B95" s="34"/>
      <c r="C95" s="4" t="s">
        <v>115</v>
      </c>
      <c r="D95" s="7">
        <f>D93+D94</f>
        <v>290751.49050354183</v>
      </c>
    </row>
    <row r="96" spans="2:4" x14ac:dyDescent="0.25">
      <c r="B96" s="34" t="s">
        <v>25</v>
      </c>
      <c r="C96" s="4" t="s">
        <v>116</v>
      </c>
      <c r="D96" s="7">
        <f>SUM(N22:N70)-D97</f>
        <v>1767.4371362220081</v>
      </c>
    </row>
    <row r="97" spans="2:4" x14ac:dyDescent="0.25">
      <c r="B97" s="34"/>
      <c r="C97" s="4" t="s">
        <v>117</v>
      </c>
      <c r="D97" s="8">
        <f>(N22+N27+N30+N31)/2+(N22/2)*0.6815+N26+N36+SUM(N51:N56)</f>
        <v>2671.3854454247903</v>
      </c>
    </row>
  </sheetData>
  <mergeCells count="15">
    <mergeCell ref="B2:B3"/>
    <mergeCell ref="M21:N21"/>
    <mergeCell ref="B71:E71"/>
    <mergeCell ref="B72:E72"/>
    <mergeCell ref="B73:E73"/>
    <mergeCell ref="A22:A25"/>
    <mergeCell ref="A26:A29"/>
    <mergeCell ref="A30:A35"/>
    <mergeCell ref="A36:A50"/>
    <mergeCell ref="A51:A67"/>
    <mergeCell ref="A68:A70"/>
    <mergeCell ref="A71:A73"/>
    <mergeCell ref="B81:B82"/>
    <mergeCell ref="B83:B95"/>
    <mergeCell ref="B96:B9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E2A0-B89F-432D-B91E-E17FFBF6158E}">
  <dimension ref="A2:Z93"/>
  <sheetViews>
    <sheetView topLeftCell="A69" workbookViewId="0">
      <selection activeCell="D79" sqref="D79:D93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1" style="1" customWidth="1"/>
    <col min="4" max="4" width="11" style="1" customWidth="1"/>
    <col min="5" max="5" width="13.109375" style="1" customWidth="1"/>
    <col min="6" max="6" width="9.44140625" style="1" bestFit="1" customWidth="1"/>
    <col min="7" max="8" width="9.109375" style="1" bestFit="1" customWidth="1"/>
    <col min="9" max="9" width="9.88671875" style="1" bestFit="1" customWidth="1"/>
    <col min="10" max="10" width="9" style="1"/>
    <col min="11" max="11" width="9.88671875" style="1" customWidth="1"/>
    <col min="12" max="12" width="12.77734375" style="1" bestFit="1" customWidth="1"/>
    <col min="13" max="13" width="11.6640625" style="1" bestFit="1" customWidth="1"/>
    <col min="14" max="16384" width="9" style="1"/>
  </cols>
  <sheetData>
    <row r="2" spans="2:26" x14ac:dyDescent="0.25">
      <c r="B2" s="34" t="s">
        <v>80</v>
      </c>
      <c r="C2" s="4" t="s">
        <v>75</v>
      </c>
      <c r="D2" s="4" t="s">
        <v>76</v>
      </c>
      <c r="E2" s="4" t="s">
        <v>77</v>
      </c>
      <c r="F2" s="4" t="s">
        <v>183</v>
      </c>
      <c r="G2" s="23"/>
      <c r="H2" s="23"/>
      <c r="I2" s="23"/>
      <c r="J2" s="23"/>
      <c r="K2" s="23"/>
    </row>
    <row r="3" spans="2:26" x14ac:dyDescent="0.25">
      <c r="B3" s="34"/>
      <c r="C3" s="4" t="s">
        <v>95</v>
      </c>
      <c r="D3" s="4" t="s">
        <v>95</v>
      </c>
      <c r="E3" s="4" t="s">
        <v>95</v>
      </c>
      <c r="F3" s="4" t="s">
        <v>95</v>
      </c>
      <c r="G3" s="23"/>
      <c r="H3" s="23"/>
      <c r="I3" s="23"/>
      <c r="J3" s="23"/>
      <c r="K3" s="23"/>
    </row>
    <row r="4" spans="2:26" x14ac:dyDescent="0.25">
      <c r="B4" s="4" t="s">
        <v>170</v>
      </c>
      <c r="C4" s="21">
        <v>4820</v>
      </c>
      <c r="D4" s="21">
        <v>4073</v>
      </c>
      <c r="E4" s="21">
        <v>1085</v>
      </c>
      <c r="F4" s="7"/>
      <c r="G4" s="23"/>
      <c r="H4" s="23"/>
      <c r="I4" s="23"/>
      <c r="J4" s="23"/>
      <c r="K4" s="23"/>
      <c r="T4" s="22"/>
      <c r="U4" s="22"/>
      <c r="V4" s="22"/>
      <c r="W4" s="22"/>
      <c r="X4" s="22"/>
      <c r="Y4" s="22"/>
      <c r="Z4" s="22"/>
    </row>
    <row r="5" spans="2:26" x14ac:dyDescent="0.25">
      <c r="B5" s="4" t="s">
        <v>19</v>
      </c>
      <c r="C5" s="21">
        <v>4589</v>
      </c>
      <c r="D5" s="21">
        <v>3861</v>
      </c>
      <c r="E5" s="21">
        <v>1047</v>
      </c>
      <c r="F5" s="7"/>
      <c r="G5" s="23"/>
      <c r="H5" s="23"/>
      <c r="I5" s="23"/>
      <c r="J5" s="23"/>
      <c r="K5" s="23"/>
      <c r="T5" s="22"/>
      <c r="U5" s="22"/>
      <c r="V5" s="22"/>
      <c r="W5" s="22"/>
      <c r="X5" s="22"/>
      <c r="Y5" s="22"/>
      <c r="Z5" s="22"/>
    </row>
    <row r="6" spans="2:26" x14ac:dyDescent="0.25">
      <c r="B6" s="4" t="s">
        <v>43</v>
      </c>
      <c r="C6" s="21">
        <v>4358</v>
      </c>
      <c r="D6" s="21">
        <v>3649</v>
      </c>
      <c r="E6" s="21">
        <v>1022</v>
      </c>
      <c r="F6" s="7">
        <v>1059</v>
      </c>
      <c r="G6" s="23"/>
      <c r="H6" s="23"/>
      <c r="I6" s="23"/>
      <c r="J6" s="23"/>
      <c r="K6" s="23"/>
      <c r="T6" s="22"/>
      <c r="U6" s="22"/>
      <c r="V6" s="22"/>
      <c r="W6" s="22"/>
      <c r="X6" s="22"/>
      <c r="Y6" s="22"/>
      <c r="Z6" s="22"/>
    </row>
    <row r="7" spans="2:26" x14ac:dyDescent="0.25">
      <c r="B7" s="4" t="s">
        <v>161</v>
      </c>
      <c r="C7" s="21">
        <v>4128</v>
      </c>
      <c r="D7" s="21">
        <v>3436</v>
      </c>
      <c r="E7" s="21">
        <v>996</v>
      </c>
      <c r="F7" s="7"/>
      <c r="G7" s="23"/>
      <c r="H7" s="23"/>
      <c r="I7" s="23"/>
      <c r="J7" s="23"/>
      <c r="K7" s="23"/>
      <c r="T7" s="22"/>
      <c r="U7" s="22"/>
      <c r="V7" s="22"/>
      <c r="W7" s="22"/>
      <c r="X7" s="22"/>
      <c r="Y7" s="22"/>
      <c r="Z7" s="22"/>
    </row>
    <row r="8" spans="2:26" x14ac:dyDescent="0.25">
      <c r="B8" s="4" t="s">
        <v>162</v>
      </c>
      <c r="C8" s="21">
        <v>3896</v>
      </c>
      <c r="D8" s="21">
        <v>3224</v>
      </c>
      <c r="E8" s="21">
        <v>970</v>
      </c>
      <c r="F8" s="7"/>
      <c r="G8" s="23"/>
      <c r="H8" s="23"/>
      <c r="I8" s="23"/>
      <c r="J8" s="23"/>
      <c r="K8" s="23"/>
      <c r="T8" s="22"/>
      <c r="U8" s="22"/>
      <c r="V8" s="22"/>
      <c r="W8" s="22"/>
      <c r="X8" s="22"/>
      <c r="Y8" s="22"/>
      <c r="Z8" s="22"/>
    </row>
    <row r="9" spans="2:26" x14ac:dyDescent="0.25">
      <c r="B9" s="4" t="s">
        <v>163</v>
      </c>
      <c r="C9" s="21">
        <v>3666</v>
      </c>
      <c r="D9" s="21">
        <v>3011</v>
      </c>
      <c r="E9" s="21">
        <v>945</v>
      </c>
      <c r="F9" s="7">
        <v>1058</v>
      </c>
      <c r="G9" s="23"/>
      <c r="H9" s="23"/>
      <c r="I9" s="23"/>
      <c r="J9" s="23"/>
      <c r="K9" s="23"/>
      <c r="L9" s="5"/>
      <c r="T9" s="22"/>
      <c r="U9" s="22"/>
      <c r="V9" s="22"/>
      <c r="W9" s="22"/>
      <c r="X9" s="22"/>
      <c r="Y9" s="22"/>
      <c r="Z9" s="22"/>
    </row>
    <row r="10" spans="2:26" x14ac:dyDescent="0.25">
      <c r="F10" s="23"/>
      <c r="G10" s="23"/>
      <c r="H10" s="23"/>
      <c r="I10" s="23"/>
      <c r="J10" s="23"/>
      <c r="K10" s="23"/>
    </row>
    <row r="11" spans="2:26" x14ac:dyDescent="0.25">
      <c r="F11" s="23"/>
      <c r="G11" s="23"/>
      <c r="H11" s="23"/>
      <c r="I11" s="23"/>
      <c r="J11" s="23"/>
      <c r="K11" s="23"/>
    </row>
    <row r="12" spans="2:26" x14ac:dyDescent="0.25">
      <c r="G12" s="23"/>
    </row>
    <row r="20" spans="1:16" ht="13.5" customHeight="1" x14ac:dyDescent="0.25">
      <c r="A20" s="4" t="s">
        <v>177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I20" s="1" t="s">
        <v>6</v>
      </c>
      <c r="J20" s="1" t="s">
        <v>7</v>
      </c>
      <c r="K20" s="1" t="s">
        <v>8</v>
      </c>
      <c r="L20" s="1" t="s">
        <v>9</v>
      </c>
      <c r="M20" s="36" t="s">
        <v>25</v>
      </c>
      <c r="N20" s="36"/>
    </row>
    <row r="21" spans="1:16" x14ac:dyDescent="0.25">
      <c r="A21" s="34" t="s">
        <v>176</v>
      </c>
      <c r="B21" s="2" t="s">
        <v>11</v>
      </c>
      <c r="C21" s="2" t="str">
        <f t="shared" ref="C21:C44" si="0">CONCATENATE("□",I21,"×",J21,"×",K21)</f>
        <v>□19400×16×43348</v>
      </c>
      <c r="D21" s="2">
        <v>1</v>
      </c>
      <c r="E21" s="3">
        <f>IF(L21&gt;0,(L21*J21/1000000000*7850),(I21*J21*K21/1000000000*7850))</f>
        <v>100999.32833011904</v>
      </c>
      <c r="F21" s="3">
        <f t="shared" ref="F21:F66" si="1">D21*E21</f>
        <v>100999.32833011904</v>
      </c>
      <c r="I21" s="1">
        <v>19400</v>
      </c>
      <c r="J21" s="1">
        <v>16</v>
      </c>
      <c r="K21" s="5">
        <f>21674*2</f>
        <v>43348</v>
      </c>
      <c r="L21" s="1">
        <v>804134779.69840002</v>
      </c>
      <c r="M21" s="6">
        <f>IF(L21&gt;0,(L21*2/1000000),(I21*K21*2/1000000))</f>
        <v>1608.2695593968001</v>
      </c>
      <c r="N21" s="5">
        <f t="shared" ref="N21" si="2">D21*M21</f>
        <v>1608.2695593968001</v>
      </c>
      <c r="P21" s="5"/>
    </row>
    <row r="22" spans="1:16" x14ac:dyDescent="0.25">
      <c r="A22" s="34"/>
      <c r="B22" s="4" t="s">
        <v>14</v>
      </c>
      <c r="C22" s="2" t="str">
        <f t="shared" si="0"/>
        <v>□460×24×19480</v>
      </c>
      <c r="D22" s="2">
        <v>2</v>
      </c>
      <c r="E22" s="3">
        <f>IF(L22&gt;0,(L22*J22/1000000000*7850),(I22*J22*K22/1000000000*7850))</f>
        <v>1688.2147199999999</v>
      </c>
      <c r="F22" s="3">
        <f t="shared" si="1"/>
        <v>3376.4294399999999</v>
      </c>
      <c r="I22" s="1">
        <v>460</v>
      </c>
      <c r="J22" s="1">
        <v>24</v>
      </c>
      <c r="K22" s="5">
        <v>19480</v>
      </c>
      <c r="M22" s="6">
        <f t="shared" ref="M22:M66" si="3">IF(L22&gt;0,(L22*2/1000000),(I22*K22*2/1000000))</f>
        <v>17.921600000000002</v>
      </c>
      <c r="N22" s="5">
        <f t="shared" ref="N22:N66" si="4">D22*M22</f>
        <v>35.843200000000003</v>
      </c>
      <c r="P22" s="5"/>
    </row>
    <row r="23" spans="1:16" x14ac:dyDescent="0.25">
      <c r="A23" s="34"/>
      <c r="B23" s="4" t="s">
        <v>32</v>
      </c>
      <c r="C23" s="9" t="str">
        <f>CONCATENATE("□",I23,"×",J23,"×",K23,"(总长)")</f>
        <v>□140×12×46834(总长)</v>
      </c>
      <c r="D23" s="2">
        <v>1</v>
      </c>
      <c r="E23" s="3">
        <f>IF(L23&gt;0,(L23*J23/1000000000*7850),(I23*J23*K23/1000000000*7850))</f>
        <v>617.64679199999989</v>
      </c>
      <c r="F23" s="3">
        <f t="shared" si="1"/>
        <v>617.64679199999989</v>
      </c>
      <c r="I23" s="1">
        <v>140</v>
      </c>
      <c r="J23" s="1">
        <v>12</v>
      </c>
      <c r="K23" s="5">
        <f>23417*2</f>
        <v>46834</v>
      </c>
      <c r="M23" s="6">
        <f t="shared" si="3"/>
        <v>13.113519999999999</v>
      </c>
      <c r="N23" s="5">
        <f t="shared" si="4"/>
        <v>13.113519999999999</v>
      </c>
      <c r="P23" s="5"/>
    </row>
    <row r="24" spans="1:16" x14ac:dyDescent="0.25">
      <c r="A24" s="34"/>
      <c r="B24" s="11" t="s">
        <v>31</v>
      </c>
      <c r="C24" s="12" t="str">
        <f>CONCATENATE("U",I24,"×",J24,"×",K24)</f>
        <v>U300×8×19400</v>
      </c>
      <c r="D24" s="12">
        <v>40</v>
      </c>
      <c r="E24" s="13">
        <f>L24*I24/1000000000*7850</f>
        <v>13.425314292000001</v>
      </c>
      <c r="F24" s="13">
        <f t="shared" si="1"/>
        <v>537.01257168000006</v>
      </c>
      <c r="I24" s="1">
        <v>300</v>
      </c>
      <c r="J24" s="1">
        <v>8</v>
      </c>
      <c r="K24" s="5">
        <v>19400</v>
      </c>
      <c r="L24" s="1">
        <v>5700.7704000000003</v>
      </c>
      <c r="M24" s="6">
        <f t="shared" si="3"/>
        <v>1.14015408E-2</v>
      </c>
      <c r="N24" s="5">
        <f t="shared" si="4"/>
        <v>0.45606163199999999</v>
      </c>
      <c r="P24" s="5"/>
    </row>
    <row r="25" spans="1:16" x14ac:dyDescent="0.25">
      <c r="A25" s="34" t="s">
        <v>175</v>
      </c>
      <c r="B25" s="2" t="s">
        <v>10</v>
      </c>
      <c r="C25" s="2" t="str">
        <f t="shared" si="0"/>
        <v>□500×16×19518</v>
      </c>
      <c r="D25" s="2">
        <v>6</v>
      </c>
      <c r="E25" s="3">
        <f t="shared" ref="E25:E44" si="5">IF(L25&gt;0,(L25*J25/1000000000*7850),(I25*J25*K25/1000000000*7850))</f>
        <v>1225.7304000000001</v>
      </c>
      <c r="F25" s="3">
        <f t="shared" si="1"/>
        <v>7354.3824000000004</v>
      </c>
      <c r="I25" s="1">
        <v>500</v>
      </c>
      <c r="J25" s="1">
        <v>16</v>
      </c>
      <c r="K25" s="5">
        <f>9759*2</f>
        <v>19518</v>
      </c>
      <c r="M25" s="6">
        <f t="shared" si="3"/>
        <v>19.518000000000001</v>
      </c>
      <c r="N25" s="5">
        <f t="shared" si="4"/>
        <v>117.108</v>
      </c>
      <c r="P25" s="5"/>
    </row>
    <row r="26" spans="1:16" x14ac:dyDescent="0.25">
      <c r="A26" s="34"/>
      <c r="B26" s="2" t="s">
        <v>30</v>
      </c>
      <c r="C26" s="2" t="str">
        <f t="shared" si="0"/>
        <v>□6889×32×19400</v>
      </c>
      <c r="D26" s="2">
        <v>2</v>
      </c>
      <c r="E26" s="3">
        <f t="shared" si="5"/>
        <v>25634.614458674878</v>
      </c>
      <c r="F26" s="3">
        <f t="shared" si="1"/>
        <v>51269.228917349756</v>
      </c>
      <c r="I26" s="1">
        <v>6889</v>
      </c>
      <c r="J26" s="1">
        <v>32</v>
      </c>
      <c r="K26" s="5">
        <v>19400</v>
      </c>
      <c r="L26" s="1">
        <v>102048624.4374</v>
      </c>
      <c r="M26" s="6">
        <f t="shared" si="3"/>
        <v>204.09724887479999</v>
      </c>
      <c r="N26" s="5">
        <f t="shared" si="4"/>
        <v>408.19449774959998</v>
      </c>
      <c r="P26" s="5"/>
    </row>
    <row r="27" spans="1:16" x14ac:dyDescent="0.25">
      <c r="A27" s="34"/>
      <c r="B27" s="2" t="s">
        <v>37</v>
      </c>
      <c r="C27" s="15" t="str">
        <f>CONCATENATE("□",I27,"×",J27,"×",K27,"(平均)")</f>
        <v>□380×16×4243(平均)</v>
      </c>
      <c r="D27" s="2">
        <v>12</v>
      </c>
      <c r="E27" s="3">
        <f t="shared" si="5"/>
        <v>202.50990400000001</v>
      </c>
      <c r="F27" s="3">
        <f t="shared" si="1"/>
        <v>2430.1188480000001</v>
      </c>
      <c r="I27" s="1">
        <v>380</v>
      </c>
      <c r="J27" s="1">
        <v>16</v>
      </c>
      <c r="K27" s="5">
        <f>(4820+3666)/2</f>
        <v>4243</v>
      </c>
      <c r="M27" s="6">
        <f t="shared" si="3"/>
        <v>3.2246800000000002</v>
      </c>
      <c r="N27" s="5">
        <f t="shared" si="4"/>
        <v>38.696160000000006</v>
      </c>
      <c r="P27" s="5"/>
    </row>
    <row r="28" spans="1:16" ht="27.6" x14ac:dyDescent="0.25">
      <c r="A28" s="34"/>
      <c r="B28" s="2" t="s">
        <v>15</v>
      </c>
      <c r="C28" s="9" t="str">
        <f>CONCATENATE("□",I28,"×",J28,"×",K28,"(总长)")</f>
        <v>□140×12×374290(总长)</v>
      </c>
      <c r="D28" s="2">
        <v>1</v>
      </c>
      <c r="E28" s="3">
        <f t="shared" si="5"/>
        <v>4936.13652</v>
      </c>
      <c r="F28" s="3">
        <f t="shared" si="1"/>
        <v>4936.13652</v>
      </c>
      <c r="I28" s="1">
        <v>140</v>
      </c>
      <c r="J28" s="1">
        <v>12</v>
      </c>
      <c r="K28" s="5">
        <f>187145*2</f>
        <v>374290</v>
      </c>
      <c r="M28" s="6">
        <f t="shared" si="3"/>
        <v>104.80119999999999</v>
      </c>
      <c r="N28" s="5">
        <f t="shared" si="4"/>
        <v>104.80119999999999</v>
      </c>
      <c r="P28" s="5"/>
    </row>
    <row r="29" spans="1:16" x14ac:dyDescent="0.25">
      <c r="A29" s="34" t="s">
        <v>174</v>
      </c>
      <c r="B29" s="4" t="s">
        <v>12</v>
      </c>
      <c r="C29" s="2" t="str">
        <f t="shared" si="0"/>
        <v>□3031×14×19400</v>
      </c>
      <c r="D29" s="2">
        <v>2</v>
      </c>
      <c r="E29" s="3">
        <f t="shared" si="5"/>
        <v>6414.6285356363696</v>
      </c>
      <c r="F29" s="3">
        <f t="shared" si="1"/>
        <v>12829.257071272739</v>
      </c>
      <c r="I29" s="1">
        <v>3031</v>
      </c>
      <c r="J29" s="1">
        <v>14</v>
      </c>
      <c r="K29" s="5">
        <v>19400</v>
      </c>
      <c r="L29" s="1">
        <v>58367866.566299997</v>
      </c>
      <c r="M29" s="6">
        <f t="shared" si="3"/>
        <v>116.73573313259999</v>
      </c>
      <c r="N29" s="5">
        <f t="shared" si="4"/>
        <v>233.47146626519998</v>
      </c>
      <c r="P29" s="5"/>
    </row>
    <row r="30" spans="1:16" x14ac:dyDescent="0.25">
      <c r="A30" s="34"/>
      <c r="B30" s="4" t="s">
        <v>13</v>
      </c>
      <c r="C30" s="2" t="str">
        <f t="shared" si="0"/>
        <v>□2283×14×19600</v>
      </c>
      <c r="D30" s="2">
        <v>2</v>
      </c>
      <c r="E30" s="3">
        <f t="shared" si="5"/>
        <v>4917.6733199999999</v>
      </c>
      <c r="F30" s="3">
        <f t="shared" si="1"/>
        <v>9835.3466399999998</v>
      </c>
      <c r="I30" s="1">
        <v>2283</v>
      </c>
      <c r="J30" s="1">
        <v>14</v>
      </c>
      <c r="K30" s="5">
        <v>19600</v>
      </c>
      <c r="M30" s="6">
        <f t="shared" si="3"/>
        <v>89.493600000000001</v>
      </c>
      <c r="N30" s="5">
        <f t="shared" si="4"/>
        <v>178.9872</v>
      </c>
      <c r="P30" s="5"/>
    </row>
    <row r="31" spans="1:16" x14ac:dyDescent="0.25">
      <c r="A31" s="34"/>
      <c r="B31" s="4" t="s">
        <v>178</v>
      </c>
      <c r="C31" s="2" t="str">
        <f>CONCATENATE("□",I31,"×",J31,"×",K31)</f>
        <v>□2179×20×7400</v>
      </c>
      <c r="D31" s="2">
        <v>2</v>
      </c>
      <c r="E31" s="3">
        <f>IF(L31&gt;0,(L31*J31/1000000000*7850),(I31*J31*K31/1000000000*7850))</f>
        <v>2824.5272640747994</v>
      </c>
      <c r="F31" s="3">
        <f>D31*E31</f>
        <v>5649.0545281495988</v>
      </c>
      <c r="I31" s="1">
        <v>2179</v>
      </c>
      <c r="J31" s="1">
        <v>20</v>
      </c>
      <c r="K31" s="5">
        <v>7400</v>
      </c>
      <c r="L31" s="1">
        <v>17990619.516399998</v>
      </c>
      <c r="M31" s="6">
        <f t="shared" si="3"/>
        <v>35.981239032799998</v>
      </c>
      <c r="N31" s="5">
        <f t="shared" si="4"/>
        <v>71.962478065599996</v>
      </c>
      <c r="P31" s="5"/>
    </row>
    <row r="32" spans="1:16" ht="27.6" x14ac:dyDescent="0.25">
      <c r="A32" s="34"/>
      <c r="B32" s="4" t="s">
        <v>16</v>
      </c>
      <c r="C32" s="9" t="str">
        <f>CONCATENATE("□",I32,"×",J32,"×",K32,"(总长)")</f>
        <v>□140×12×398000(总长)</v>
      </c>
      <c r="D32" s="2">
        <v>1</v>
      </c>
      <c r="E32" s="3">
        <f t="shared" si="5"/>
        <v>5248.8240000000005</v>
      </c>
      <c r="F32" s="3">
        <f t="shared" si="1"/>
        <v>5248.8240000000005</v>
      </c>
      <c r="I32" s="1">
        <v>140</v>
      </c>
      <c r="J32" s="1">
        <v>12</v>
      </c>
      <c r="K32" s="5">
        <f>19400*9*2+6100*8</f>
        <v>398000</v>
      </c>
      <c r="M32" s="6">
        <f t="shared" si="3"/>
        <v>111.44</v>
      </c>
      <c r="N32" s="5">
        <f t="shared" si="4"/>
        <v>111.44</v>
      </c>
      <c r="P32" s="5"/>
    </row>
    <row r="33" spans="1:16" x14ac:dyDescent="0.25">
      <c r="A33" s="34"/>
      <c r="B33" s="4" t="s">
        <v>33</v>
      </c>
      <c r="C33" s="2" t="str">
        <f t="shared" si="0"/>
        <v>□184×16×450</v>
      </c>
      <c r="D33" s="2">
        <f>4*4</f>
        <v>16</v>
      </c>
      <c r="E33" s="3">
        <f t="shared" si="5"/>
        <v>10.39968</v>
      </c>
      <c r="F33" s="3">
        <f t="shared" si="1"/>
        <v>166.39488</v>
      </c>
      <c r="I33" s="1">
        <v>184</v>
      </c>
      <c r="J33" s="1">
        <v>16</v>
      </c>
      <c r="K33" s="5">
        <v>450</v>
      </c>
      <c r="M33" s="6">
        <f t="shared" si="3"/>
        <v>0.1656</v>
      </c>
      <c r="N33" s="5">
        <f t="shared" si="4"/>
        <v>2.6496</v>
      </c>
      <c r="P33" s="5"/>
    </row>
    <row r="34" spans="1:16" x14ac:dyDescent="0.25">
      <c r="A34" s="34"/>
      <c r="B34" s="4" t="s">
        <v>34</v>
      </c>
      <c r="C34" s="2" t="str">
        <f t="shared" si="0"/>
        <v>□176×16×450</v>
      </c>
      <c r="D34" s="2">
        <f>4*2</f>
        <v>8</v>
      </c>
      <c r="E34" s="3">
        <f t="shared" si="5"/>
        <v>9.9475200000000008</v>
      </c>
      <c r="F34" s="3">
        <f t="shared" si="1"/>
        <v>79.580160000000006</v>
      </c>
      <c r="I34" s="1">
        <v>176</v>
      </c>
      <c r="J34" s="1">
        <v>16</v>
      </c>
      <c r="K34" s="5">
        <v>450</v>
      </c>
      <c r="M34" s="6">
        <f t="shared" si="3"/>
        <v>0.15840000000000001</v>
      </c>
      <c r="N34" s="5">
        <f t="shared" si="4"/>
        <v>1.2672000000000001</v>
      </c>
      <c r="P34" s="5"/>
    </row>
    <row r="35" spans="1:16" x14ac:dyDescent="0.25">
      <c r="A35" s="34" t="s">
        <v>173</v>
      </c>
      <c r="B35" s="4" t="s">
        <v>17</v>
      </c>
      <c r="C35" s="2" t="str">
        <f t="shared" si="0"/>
        <v>□2384×12×19864</v>
      </c>
      <c r="D35" s="2">
        <v>6</v>
      </c>
      <c r="E35" s="3">
        <f t="shared" si="5"/>
        <v>4011.95675345376</v>
      </c>
      <c r="F35" s="3">
        <f t="shared" si="1"/>
        <v>24071.74052072256</v>
      </c>
      <c r="I35" s="1">
        <v>2384</v>
      </c>
      <c r="J35" s="1">
        <v>12</v>
      </c>
      <c r="K35" s="5">
        <v>19864</v>
      </c>
      <c r="L35" s="1">
        <f>2*21294887.2264</f>
        <v>42589774.452799998</v>
      </c>
      <c r="M35" s="6">
        <f t="shared" si="3"/>
        <v>85.179548905600001</v>
      </c>
      <c r="N35" s="5">
        <f t="shared" si="4"/>
        <v>511.0772934336</v>
      </c>
      <c r="P35" s="5"/>
    </row>
    <row r="36" spans="1:16" x14ac:dyDescent="0.25">
      <c r="A36" s="34"/>
      <c r="B36" s="4" t="s">
        <v>18</v>
      </c>
      <c r="C36" s="2" t="str">
        <f t="shared" si="0"/>
        <v>□2241×12×6335</v>
      </c>
      <c r="D36" s="2">
        <v>2</v>
      </c>
      <c r="E36" s="3">
        <f t="shared" si="5"/>
        <v>961.9358706037799</v>
      </c>
      <c r="F36" s="3">
        <f t="shared" si="1"/>
        <v>1923.8717412075598</v>
      </c>
      <c r="I36" s="1">
        <v>2241</v>
      </c>
      <c r="J36" s="1">
        <v>12</v>
      </c>
      <c r="K36" s="5">
        <v>6335</v>
      </c>
      <c r="L36" s="1">
        <f>11217890.0408-1006256.5949</f>
        <v>10211633.445899999</v>
      </c>
      <c r="M36" s="6">
        <f t="shared" si="3"/>
        <v>20.423266891799997</v>
      </c>
      <c r="N36" s="5">
        <f t="shared" si="4"/>
        <v>40.846533783599995</v>
      </c>
      <c r="P36" s="5"/>
    </row>
    <row r="37" spans="1:16" x14ac:dyDescent="0.25">
      <c r="A37" s="34"/>
      <c r="B37" s="4" t="s">
        <v>168</v>
      </c>
      <c r="C37" s="2" t="str">
        <f t="shared" si="0"/>
        <v>□2241×12×6840</v>
      </c>
      <c r="D37" s="2">
        <v>2</v>
      </c>
      <c r="E37" s="3">
        <f t="shared" si="5"/>
        <v>1015.1579562137999</v>
      </c>
      <c r="F37" s="3">
        <f t="shared" si="1"/>
        <v>2030.3159124275999</v>
      </c>
      <c r="I37" s="1">
        <v>2241</v>
      </c>
      <c r="J37" s="1">
        <v>12</v>
      </c>
      <c r="K37" s="5">
        <v>6840</v>
      </c>
      <c r="L37" s="1">
        <v>10776623.739</v>
      </c>
      <c r="M37" s="6">
        <f t="shared" si="3"/>
        <v>21.553247477999999</v>
      </c>
      <c r="N37" s="5">
        <f t="shared" si="4"/>
        <v>43.106494955999999</v>
      </c>
      <c r="P37" s="5"/>
    </row>
    <row r="38" spans="1:16" x14ac:dyDescent="0.25">
      <c r="A38" s="34"/>
      <c r="B38" s="4" t="s">
        <v>226</v>
      </c>
      <c r="C38" s="2" t="str">
        <f t="shared" si="0"/>
        <v>□2241×28×6335</v>
      </c>
      <c r="D38" s="2">
        <v>2</v>
      </c>
      <c r="E38" s="3">
        <f t="shared" si="5"/>
        <v>2244.51703140882</v>
      </c>
      <c r="F38" s="3">
        <f t="shared" si="1"/>
        <v>4489.03406281764</v>
      </c>
      <c r="I38" s="1">
        <v>2241</v>
      </c>
      <c r="J38" s="1">
        <v>28</v>
      </c>
      <c r="K38" s="5">
        <v>6335</v>
      </c>
      <c r="L38" s="1">
        <f>11217890.0408-1006256.5949</f>
        <v>10211633.445899999</v>
      </c>
      <c r="M38" s="6">
        <f t="shared" si="3"/>
        <v>20.423266891799997</v>
      </c>
      <c r="N38" s="5">
        <f t="shared" si="4"/>
        <v>40.846533783599995</v>
      </c>
      <c r="P38" s="5"/>
    </row>
    <row r="39" spans="1:16" x14ac:dyDescent="0.25">
      <c r="A39" s="34"/>
      <c r="B39" s="4" t="s">
        <v>199</v>
      </c>
      <c r="C39" s="2" t="str">
        <f t="shared" si="0"/>
        <v>□2241×28×6860</v>
      </c>
      <c r="D39" s="2">
        <v>2</v>
      </c>
      <c r="E39" s="3">
        <f t="shared" si="5"/>
        <v>2376.0372829684402</v>
      </c>
      <c r="F39" s="3">
        <f t="shared" si="1"/>
        <v>4752.0745659368804</v>
      </c>
      <c r="I39" s="1">
        <v>2241</v>
      </c>
      <c r="J39" s="1">
        <v>28</v>
      </c>
      <c r="K39" s="5">
        <v>6860</v>
      </c>
      <c r="L39" s="1">
        <v>10809996.7378</v>
      </c>
      <c r="M39" s="6">
        <f t="shared" si="3"/>
        <v>21.619993475600001</v>
      </c>
      <c r="N39" s="5">
        <f t="shared" si="4"/>
        <v>43.239986951200002</v>
      </c>
      <c r="P39" s="5"/>
    </row>
    <row r="40" spans="1:16" x14ac:dyDescent="0.25">
      <c r="A40" s="34"/>
      <c r="B40" s="4" t="s">
        <v>161</v>
      </c>
      <c r="C40" s="2" t="str">
        <f t="shared" si="0"/>
        <v>□2241×12×3139</v>
      </c>
      <c r="D40" s="2">
        <v>2</v>
      </c>
      <c r="E40" s="3">
        <f t="shared" si="5"/>
        <v>562.87706919366008</v>
      </c>
      <c r="F40" s="3">
        <f t="shared" si="1"/>
        <v>1125.7541383873202</v>
      </c>
      <c r="I40" s="1">
        <v>2241</v>
      </c>
      <c r="J40" s="1">
        <v>12</v>
      </c>
      <c r="K40" s="5">
        <v>3139</v>
      </c>
      <c r="L40" s="1">
        <v>5975340.4373000003</v>
      </c>
      <c r="M40" s="6">
        <f t="shared" si="3"/>
        <v>11.950680874600002</v>
      </c>
      <c r="N40" s="5">
        <f t="shared" si="4"/>
        <v>23.901361749200003</v>
      </c>
      <c r="P40" s="5"/>
    </row>
    <row r="41" spans="1:16" x14ac:dyDescent="0.25">
      <c r="A41" s="34"/>
      <c r="B41" s="4" t="s">
        <v>166</v>
      </c>
      <c r="C41" s="2" t="str">
        <f t="shared" si="0"/>
        <v>□2190×12×3937</v>
      </c>
      <c r="D41" s="2">
        <v>2</v>
      </c>
      <c r="E41" s="3">
        <f t="shared" si="5"/>
        <v>513.05617161906002</v>
      </c>
      <c r="F41" s="3">
        <f t="shared" si="1"/>
        <v>1026.11234323812</v>
      </c>
      <c r="I41" s="1">
        <v>2190</v>
      </c>
      <c r="J41" s="1">
        <v>12</v>
      </c>
      <c r="K41" s="5">
        <v>3937</v>
      </c>
      <c r="L41" s="1">
        <v>5446456.1743000001</v>
      </c>
      <c r="M41" s="6">
        <f t="shared" si="3"/>
        <v>10.892912348599999</v>
      </c>
      <c r="N41" s="5">
        <f t="shared" si="4"/>
        <v>21.785824697199999</v>
      </c>
      <c r="P41" s="5"/>
    </row>
    <row r="42" spans="1:16" x14ac:dyDescent="0.25">
      <c r="A42" s="34"/>
      <c r="B42" s="4" t="s">
        <v>179</v>
      </c>
      <c r="C42" s="2" t="str">
        <f t="shared" si="0"/>
        <v>□2179×12×4207</v>
      </c>
      <c r="D42" s="2">
        <v>2</v>
      </c>
      <c r="E42" s="3">
        <f t="shared" si="5"/>
        <v>692.57593332354008</v>
      </c>
      <c r="F42" s="3">
        <f t="shared" si="1"/>
        <v>1385.1518666470802</v>
      </c>
      <c r="I42" s="1">
        <v>2179</v>
      </c>
      <c r="J42" s="1">
        <v>12</v>
      </c>
      <c r="K42" s="5">
        <v>4207</v>
      </c>
      <c r="L42" s="1">
        <f>8358442.7236-1006256.5949</f>
        <v>7352186.1287000002</v>
      </c>
      <c r="M42" s="6">
        <f t="shared" si="3"/>
        <v>14.704372257400001</v>
      </c>
      <c r="N42" s="5">
        <f t="shared" si="4"/>
        <v>29.408744514800002</v>
      </c>
      <c r="P42" s="5"/>
    </row>
    <row r="43" spans="1:16" x14ac:dyDescent="0.25">
      <c r="A43" s="34"/>
      <c r="B43" s="4" t="s">
        <v>227</v>
      </c>
      <c r="C43" s="2" t="str">
        <f>CONCATENATE("□",I43,"×",J43,"×",K43)</f>
        <v>□2179×28×3681</v>
      </c>
      <c r="D43" s="2">
        <v>2</v>
      </c>
      <c r="E43" s="3">
        <f>IF(L43&gt;0,(L43*J43/1000000000*7850),(I43*J43*K43/1000000000*7850))</f>
        <v>1092.4638109168</v>
      </c>
      <c r="F43" s="3">
        <f>D43*E43</f>
        <v>2184.9276218335999</v>
      </c>
      <c r="I43" s="1">
        <v>2179</v>
      </c>
      <c r="J43" s="1">
        <v>28</v>
      </c>
      <c r="K43" s="5">
        <v>3681</v>
      </c>
      <c r="L43" s="1">
        <f>5618168.7453-647905.7293</f>
        <v>4970263.0159999998</v>
      </c>
      <c r="M43" s="6">
        <f t="shared" si="3"/>
        <v>9.9405260319999993</v>
      </c>
      <c r="N43" s="5">
        <f t="shared" si="4"/>
        <v>19.881052063999999</v>
      </c>
      <c r="P43" s="5"/>
    </row>
    <row r="44" spans="1:16" x14ac:dyDescent="0.25">
      <c r="A44" s="34"/>
      <c r="B44" s="4" t="s">
        <v>180</v>
      </c>
      <c r="C44" s="2" t="str">
        <f t="shared" si="0"/>
        <v>□2179×28×4207</v>
      </c>
      <c r="D44" s="2">
        <v>2</v>
      </c>
      <c r="E44" s="3">
        <f t="shared" si="5"/>
        <v>1616.01051108826</v>
      </c>
      <c r="F44" s="3">
        <f t="shared" si="1"/>
        <v>3232.0210221765201</v>
      </c>
      <c r="I44" s="1">
        <v>2179</v>
      </c>
      <c r="J44" s="1">
        <v>28</v>
      </c>
      <c r="K44" s="5">
        <v>4207</v>
      </c>
      <c r="L44" s="1">
        <f>8358442.7236-1006256.5949</f>
        <v>7352186.1287000002</v>
      </c>
      <c r="M44" s="6">
        <f t="shared" si="3"/>
        <v>14.704372257400001</v>
      </c>
      <c r="N44" s="5">
        <f t="shared" si="4"/>
        <v>29.408744514800002</v>
      </c>
      <c r="P44" s="5"/>
    </row>
    <row r="45" spans="1:16" x14ac:dyDescent="0.25">
      <c r="A45" s="34"/>
      <c r="B45" s="4" t="s">
        <v>205</v>
      </c>
      <c r="C45" s="2" t="str">
        <f>CONCATENATE("□",I45,"×",J45,"×",K45)</f>
        <v>□2179×28×4206</v>
      </c>
      <c r="D45" s="2">
        <v>2</v>
      </c>
      <c r="E45" s="3">
        <f>IF(L45&gt;0,(L45*J45/1000000000*7850),(I45*J45*K45/1000000000*7850))</f>
        <v>1341.4068540821199</v>
      </c>
      <c r="F45" s="3">
        <f>D45*E45</f>
        <v>2682.8137081642399</v>
      </c>
      <c r="I45" s="1">
        <v>2179</v>
      </c>
      <c r="J45" s="1">
        <v>28</v>
      </c>
      <c r="K45" s="5">
        <v>4206</v>
      </c>
      <c r="L45" s="1">
        <f>6750757.6587-647905.7293</f>
        <v>6102851.9293999998</v>
      </c>
      <c r="M45" s="6">
        <f t="shared" si="3"/>
        <v>12.2057038588</v>
      </c>
      <c r="N45" s="5">
        <f t="shared" si="4"/>
        <v>24.4114077176</v>
      </c>
      <c r="P45" s="5"/>
    </row>
    <row r="46" spans="1:16" x14ac:dyDescent="0.25">
      <c r="A46" s="34"/>
      <c r="B46" s="4" t="s">
        <v>228</v>
      </c>
      <c r="C46" s="15" t="str">
        <f>CONCATENATE("□",I46,"×",J46,"×",K46,"(平均)")</f>
        <v>□4243×12×1011(平均)</v>
      </c>
      <c r="D46" s="2">
        <v>14</v>
      </c>
      <c r="E46" s="3">
        <f>IF(L46&gt;0,(L46*J46/1000000000*7850),(I46*J46*K46/1000000000*7850))</f>
        <v>194.08542813227999</v>
      </c>
      <c r="F46" s="3">
        <f>D46*E46</f>
        <v>2717.1959938519199</v>
      </c>
      <c r="I46" s="1">
        <v>4243</v>
      </c>
      <c r="J46" s="1">
        <v>12</v>
      </c>
      <c r="K46" s="5">
        <v>1011</v>
      </c>
      <c r="L46" s="1">
        <f>(1751017.0968+2369692.63)/2</f>
        <v>2060354.8633999999</v>
      </c>
      <c r="M46" s="6">
        <f t="shared" si="3"/>
        <v>4.1207097267999995</v>
      </c>
      <c r="N46" s="5">
        <f t="shared" si="4"/>
        <v>57.689936175199989</v>
      </c>
      <c r="P46" s="5"/>
    </row>
    <row r="47" spans="1:16" x14ac:dyDescent="0.25">
      <c r="A47" s="40" t="s">
        <v>172</v>
      </c>
      <c r="B47" s="4" t="s">
        <v>20</v>
      </c>
      <c r="C47" s="2" t="str">
        <f t="shared" ref="C47:C52" si="6">CONCATENATE("□",I47,"×",J47,"×",K47)</f>
        <v>□140×12×19180</v>
      </c>
      <c r="D47" s="2">
        <v>12</v>
      </c>
      <c r="E47" s="3">
        <f t="shared" ref="E47:E64" si="7">IF(L47&gt;0,(L47*J47/1000000000*7850),(I47*J47*K47/1000000000*7850))</f>
        <v>252.94583999999998</v>
      </c>
      <c r="F47" s="3">
        <f t="shared" si="1"/>
        <v>3035.3500799999997</v>
      </c>
      <c r="I47" s="1">
        <v>140</v>
      </c>
      <c r="J47" s="1">
        <v>12</v>
      </c>
      <c r="K47" s="1">
        <f>9590*2</f>
        <v>19180</v>
      </c>
      <c r="M47" s="6">
        <f t="shared" si="3"/>
        <v>5.3704000000000001</v>
      </c>
      <c r="N47" s="5">
        <f t="shared" si="4"/>
        <v>64.444800000000001</v>
      </c>
    </row>
    <row r="48" spans="1:16" x14ac:dyDescent="0.25">
      <c r="A48" s="40"/>
      <c r="B48" s="4" t="s">
        <v>21</v>
      </c>
      <c r="C48" s="2" t="str">
        <f t="shared" si="6"/>
        <v>□180×12×1884</v>
      </c>
      <c r="D48" s="2">
        <v>24</v>
      </c>
      <c r="E48" s="3">
        <f t="shared" si="7"/>
        <v>31.945103999999997</v>
      </c>
      <c r="F48" s="3">
        <f t="shared" si="1"/>
        <v>766.6824959999999</v>
      </c>
      <c r="I48" s="1">
        <v>180</v>
      </c>
      <c r="J48" s="1">
        <v>12</v>
      </c>
      <c r="K48" s="1">
        <v>1884</v>
      </c>
      <c r="M48" s="6">
        <f t="shared" si="3"/>
        <v>0.67823999999999995</v>
      </c>
      <c r="N48" s="5">
        <f t="shared" si="4"/>
        <v>16.277760000000001</v>
      </c>
    </row>
    <row r="49" spans="1:14" x14ac:dyDescent="0.25">
      <c r="A49" s="40"/>
      <c r="B49" s="4" t="s">
        <v>22</v>
      </c>
      <c r="C49" s="2" t="str">
        <f t="shared" si="6"/>
        <v>□180×12×1857</v>
      </c>
      <c r="D49" s="2">
        <v>24</v>
      </c>
      <c r="E49" s="3">
        <f t="shared" si="7"/>
        <v>31.487292</v>
      </c>
      <c r="F49" s="3">
        <f t="shared" si="1"/>
        <v>755.69500800000003</v>
      </c>
      <c r="I49" s="1">
        <v>180</v>
      </c>
      <c r="J49" s="1">
        <v>12</v>
      </c>
      <c r="K49" s="1">
        <v>1857</v>
      </c>
      <c r="M49" s="6">
        <f t="shared" si="3"/>
        <v>0.66852</v>
      </c>
      <c r="N49" s="5">
        <f t="shared" si="4"/>
        <v>16.04448</v>
      </c>
    </row>
    <row r="50" spans="1:14" x14ac:dyDescent="0.25">
      <c r="A50" s="40"/>
      <c r="B50" s="4" t="s">
        <v>35</v>
      </c>
      <c r="C50" s="2" t="str">
        <f t="shared" si="6"/>
        <v>□180×12×1830</v>
      </c>
      <c r="D50" s="2">
        <v>24</v>
      </c>
      <c r="E50" s="3">
        <f t="shared" si="7"/>
        <v>31.029480000000003</v>
      </c>
      <c r="F50" s="3">
        <f t="shared" si="1"/>
        <v>744.70752000000005</v>
      </c>
      <c r="I50" s="1">
        <v>180</v>
      </c>
      <c r="J50" s="1">
        <v>12</v>
      </c>
      <c r="K50" s="1">
        <v>1830</v>
      </c>
      <c r="M50" s="6">
        <f t="shared" si="3"/>
        <v>0.65880000000000005</v>
      </c>
      <c r="N50" s="5">
        <f t="shared" si="4"/>
        <v>15.811200000000001</v>
      </c>
    </row>
    <row r="51" spans="1:14" x14ac:dyDescent="0.25">
      <c r="A51" s="40"/>
      <c r="B51" s="4" t="s">
        <v>36</v>
      </c>
      <c r="C51" s="2" t="str">
        <f t="shared" si="6"/>
        <v>□180×12×1803</v>
      </c>
      <c r="D51" s="2">
        <v>24</v>
      </c>
      <c r="E51" s="3">
        <f t="shared" si="7"/>
        <v>30.571667999999999</v>
      </c>
      <c r="F51" s="3">
        <f t="shared" si="1"/>
        <v>733.72003199999995</v>
      </c>
      <c r="I51" s="1">
        <v>180</v>
      </c>
      <c r="J51" s="1">
        <v>12</v>
      </c>
      <c r="K51" s="1">
        <v>1803</v>
      </c>
      <c r="M51" s="6">
        <f t="shared" si="3"/>
        <v>0.64907999999999999</v>
      </c>
      <c r="N51" s="5">
        <f t="shared" si="4"/>
        <v>15.577919999999999</v>
      </c>
    </row>
    <row r="52" spans="1:14" x14ac:dyDescent="0.25">
      <c r="A52" s="40"/>
      <c r="B52" s="4" t="s">
        <v>48</v>
      </c>
      <c r="C52" s="2" t="str">
        <f t="shared" si="6"/>
        <v>□180×12×1776</v>
      </c>
      <c r="D52" s="2">
        <v>24</v>
      </c>
      <c r="E52" s="3">
        <f t="shared" si="7"/>
        <v>30.113855999999998</v>
      </c>
      <c r="F52" s="3">
        <f t="shared" si="1"/>
        <v>722.73254399999996</v>
      </c>
      <c r="I52" s="1">
        <v>180</v>
      </c>
      <c r="J52" s="1">
        <v>12</v>
      </c>
      <c r="K52" s="1">
        <v>1776</v>
      </c>
      <c r="M52" s="6">
        <f t="shared" si="3"/>
        <v>0.63936000000000004</v>
      </c>
      <c r="N52" s="5">
        <f t="shared" si="4"/>
        <v>15.344640000000002</v>
      </c>
    </row>
    <row r="53" spans="1:14" x14ac:dyDescent="0.25">
      <c r="A53" s="40"/>
      <c r="B53" s="4" t="s">
        <v>38</v>
      </c>
      <c r="C53" s="15" t="str">
        <f t="shared" ref="C53:C58" si="8">CONCATENATE("□",I53,"×",J53,"×",K53,"(平均)")</f>
        <v>□100×10×4689(平均)</v>
      </c>
      <c r="D53" s="2">
        <v>10</v>
      </c>
      <c r="E53" s="3">
        <f t="shared" si="7"/>
        <v>36.80865</v>
      </c>
      <c r="F53" s="3">
        <f t="shared" si="1"/>
        <v>368.0865</v>
      </c>
      <c r="I53" s="1">
        <v>100</v>
      </c>
      <c r="J53" s="1">
        <v>10</v>
      </c>
      <c r="K53" s="1">
        <f>(2869+6509)/2</f>
        <v>4689</v>
      </c>
      <c r="M53" s="6">
        <f t="shared" si="3"/>
        <v>0.93779999999999997</v>
      </c>
      <c r="N53" s="5">
        <f t="shared" si="4"/>
        <v>9.3780000000000001</v>
      </c>
    </row>
    <row r="54" spans="1:14" x14ac:dyDescent="0.25">
      <c r="A54" s="40"/>
      <c r="B54" s="4" t="s">
        <v>46</v>
      </c>
      <c r="C54" s="15" t="str">
        <f t="shared" si="8"/>
        <v>□100×10×2859(平均)</v>
      </c>
      <c r="D54" s="2">
        <v>8</v>
      </c>
      <c r="E54" s="3">
        <f t="shared" si="7"/>
        <v>22.443149999999999</v>
      </c>
      <c r="F54" s="3">
        <f t="shared" si="1"/>
        <v>179.54519999999999</v>
      </c>
      <c r="I54" s="1">
        <v>100</v>
      </c>
      <c r="J54" s="1">
        <v>10</v>
      </c>
      <c r="K54" s="1">
        <f>(2500+3218)/2</f>
        <v>2859</v>
      </c>
      <c r="M54" s="6">
        <f t="shared" si="3"/>
        <v>0.57179999999999997</v>
      </c>
      <c r="N54" s="5">
        <f t="shared" si="4"/>
        <v>4.5743999999999998</v>
      </c>
    </row>
    <row r="55" spans="1:14" x14ac:dyDescent="0.25">
      <c r="A55" s="40"/>
      <c r="B55" s="4" t="s">
        <v>39</v>
      </c>
      <c r="C55" s="15" t="str">
        <f t="shared" si="8"/>
        <v>□100×10×3400(平均)</v>
      </c>
      <c r="D55" s="2">
        <f>D53</f>
        <v>10</v>
      </c>
      <c r="E55" s="3">
        <f t="shared" si="7"/>
        <v>26.689999999999998</v>
      </c>
      <c r="F55" s="3">
        <f t="shared" si="1"/>
        <v>266.89999999999998</v>
      </c>
      <c r="I55" s="1">
        <v>100</v>
      </c>
      <c r="J55" s="1">
        <v>10</v>
      </c>
      <c r="K55" s="1">
        <f>(1716+5084)/2</f>
        <v>3400</v>
      </c>
      <c r="M55" s="6">
        <f t="shared" si="3"/>
        <v>0.68</v>
      </c>
      <c r="N55" s="5">
        <f t="shared" si="4"/>
        <v>6.8000000000000007</v>
      </c>
    </row>
    <row r="56" spans="1:14" x14ac:dyDescent="0.25">
      <c r="A56" s="40"/>
      <c r="B56" s="4" t="s">
        <v>49</v>
      </c>
      <c r="C56" s="15" t="str">
        <f t="shared" si="8"/>
        <v>□100×10×1563(平均)</v>
      </c>
      <c r="D56" s="2">
        <v>8</v>
      </c>
      <c r="E56" s="3">
        <f t="shared" si="7"/>
        <v>12.269549999999999</v>
      </c>
      <c r="F56" s="3">
        <f t="shared" si="1"/>
        <v>98.156399999999991</v>
      </c>
      <c r="I56" s="1">
        <v>100</v>
      </c>
      <c r="J56" s="1">
        <v>10</v>
      </c>
      <c r="K56" s="1">
        <f>(2073+1053)/2</f>
        <v>1563</v>
      </c>
      <c r="M56" s="6">
        <f t="shared" si="3"/>
        <v>0.31259999999999999</v>
      </c>
      <c r="N56" s="5">
        <f t="shared" si="4"/>
        <v>2.5007999999999999</v>
      </c>
    </row>
    <row r="57" spans="1:14" x14ac:dyDescent="0.25">
      <c r="A57" s="40"/>
      <c r="B57" s="4" t="s">
        <v>40</v>
      </c>
      <c r="C57" s="15" t="str">
        <f t="shared" si="8"/>
        <v>□100×10×1516(平均)</v>
      </c>
      <c r="D57" s="2">
        <v>38</v>
      </c>
      <c r="E57" s="3">
        <f t="shared" si="7"/>
        <v>11.900600000000001</v>
      </c>
      <c r="F57" s="3">
        <f t="shared" si="1"/>
        <v>452.22280000000001</v>
      </c>
      <c r="I57" s="1">
        <v>100</v>
      </c>
      <c r="J57" s="1">
        <v>10</v>
      </c>
      <c r="K57" s="1">
        <f>(1290+1742)/2</f>
        <v>1516</v>
      </c>
      <c r="M57" s="6">
        <f t="shared" si="3"/>
        <v>0.30320000000000003</v>
      </c>
      <c r="N57" s="5">
        <f t="shared" si="4"/>
        <v>11.521600000000001</v>
      </c>
    </row>
    <row r="58" spans="1:14" x14ac:dyDescent="0.25">
      <c r="A58" s="40"/>
      <c r="B58" s="4" t="s">
        <v>50</v>
      </c>
      <c r="C58" s="15" t="str">
        <f t="shared" si="8"/>
        <v>□100×10×1495(平均)</v>
      </c>
      <c r="D58" s="2">
        <v>36</v>
      </c>
      <c r="E58" s="3">
        <f t="shared" si="7"/>
        <v>11.735749999999999</v>
      </c>
      <c r="F58" s="3">
        <f t="shared" si="1"/>
        <v>422.48699999999997</v>
      </c>
      <c r="I58" s="1">
        <v>100</v>
      </c>
      <c r="J58" s="1">
        <v>10</v>
      </c>
      <c r="K58" s="1">
        <f>(1267+1723)/2</f>
        <v>1495</v>
      </c>
      <c r="M58" s="6">
        <f t="shared" si="3"/>
        <v>0.29899999999999999</v>
      </c>
      <c r="N58" s="5">
        <f t="shared" si="4"/>
        <v>10.763999999999999</v>
      </c>
    </row>
    <row r="59" spans="1:14" x14ac:dyDescent="0.25">
      <c r="A59" s="40"/>
      <c r="B59" s="4" t="s">
        <v>41</v>
      </c>
      <c r="C59" s="2" t="str">
        <f>CONCATENATE("□",I59,"×",J59,"×",K59)</f>
        <v>□110×10×3748</v>
      </c>
      <c r="D59" s="2">
        <v>8</v>
      </c>
      <c r="E59" s="3">
        <f t="shared" si="7"/>
        <v>32.363980000000005</v>
      </c>
      <c r="F59" s="3">
        <f t="shared" si="1"/>
        <v>258.91184000000004</v>
      </c>
      <c r="I59" s="1">
        <v>110</v>
      </c>
      <c r="J59" s="1">
        <v>10</v>
      </c>
      <c r="K59" s="1">
        <v>3748</v>
      </c>
      <c r="M59" s="6">
        <f t="shared" si="3"/>
        <v>0.82455999999999996</v>
      </c>
      <c r="N59" s="5">
        <f t="shared" si="4"/>
        <v>6.5964799999999997</v>
      </c>
    </row>
    <row r="60" spans="1:14" x14ac:dyDescent="0.25">
      <c r="A60" s="40"/>
      <c r="B60" s="4" t="s">
        <v>57</v>
      </c>
      <c r="C60" s="2" t="str">
        <f>CONCATENATE("□",I60,"×",J60,"×",K60)</f>
        <v>□110×10×2996</v>
      </c>
      <c r="D60" s="2">
        <v>4</v>
      </c>
      <c r="E60" s="3">
        <f t="shared" si="7"/>
        <v>25.870460000000001</v>
      </c>
      <c r="F60" s="3">
        <f t="shared" si="1"/>
        <v>103.48184000000001</v>
      </c>
      <c r="I60" s="1">
        <v>110</v>
      </c>
      <c r="J60" s="1">
        <v>10</v>
      </c>
      <c r="K60" s="1">
        <v>2996</v>
      </c>
      <c r="M60" s="6">
        <f t="shared" si="3"/>
        <v>0.65912000000000004</v>
      </c>
      <c r="N60" s="5">
        <f t="shared" si="4"/>
        <v>2.6364800000000002</v>
      </c>
    </row>
    <row r="61" spans="1:14" x14ac:dyDescent="0.25">
      <c r="A61" s="40"/>
      <c r="B61" s="4" t="s">
        <v>58</v>
      </c>
      <c r="C61" s="15" t="str">
        <f>CONCATENATE("□",I61,"×",J61,"×",K61,"(平均)")</f>
        <v>□550×24×3502(平均)</v>
      </c>
      <c r="D61" s="2">
        <v>6</v>
      </c>
      <c r="E61" s="16">
        <f t="shared" si="7"/>
        <v>362.87724000000003</v>
      </c>
      <c r="F61" s="3">
        <f t="shared" si="1"/>
        <v>2177.2634400000002</v>
      </c>
      <c r="I61" s="1">
        <v>550</v>
      </c>
      <c r="J61" s="1">
        <v>24</v>
      </c>
      <c r="K61" s="1">
        <v>3502</v>
      </c>
      <c r="M61" s="6">
        <f t="shared" si="3"/>
        <v>3.8521999999999998</v>
      </c>
      <c r="N61" s="5">
        <f t="shared" si="4"/>
        <v>23.113199999999999</v>
      </c>
    </row>
    <row r="62" spans="1:14" x14ac:dyDescent="0.25">
      <c r="A62" s="40"/>
      <c r="B62" s="4" t="s">
        <v>42</v>
      </c>
      <c r="C62" s="2" t="str">
        <f>CONCATENATE("□",I62,"×",J62,"×",K62)</f>
        <v>□134×12×300</v>
      </c>
      <c r="D62" s="2">
        <v>24</v>
      </c>
      <c r="E62" s="3">
        <f t="shared" si="7"/>
        <v>3.7868400000000002</v>
      </c>
      <c r="F62" s="3">
        <f t="shared" si="1"/>
        <v>90.884160000000008</v>
      </c>
      <c r="I62" s="1">
        <v>134</v>
      </c>
      <c r="J62" s="1">
        <v>12</v>
      </c>
      <c r="K62" s="1">
        <v>300</v>
      </c>
      <c r="M62" s="6">
        <f t="shared" si="3"/>
        <v>8.0399999999999999E-2</v>
      </c>
      <c r="N62" s="5">
        <f t="shared" si="4"/>
        <v>1.9296</v>
      </c>
    </row>
    <row r="63" spans="1:14" x14ac:dyDescent="0.25">
      <c r="A63" s="40"/>
      <c r="B63" s="4" t="s">
        <v>59</v>
      </c>
      <c r="C63" s="2" t="str">
        <f>CONCATENATE("□",I63,"×",J63,"×",K63)</f>
        <v>□134×12×400</v>
      </c>
      <c r="D63" s="2">
        <v>24</v>
      </c>
      <c r="E63" s="3">
        <f t="shared" si="7"/>
        <v>5.0491200000000003</v>
      </c>
      <c r="F63" s="3">
        <f t="shared" si="1"/>
        <v>121.17888000000001</v>
      </c>
      <c r="I63" s="1">
        <v>134</v>
      </c>
      <c r="J63" s="1">
        <v>12</v>
      </c>
      <c r="K63" s="1">
        <v>400</v>
      </c>
      <c r="M63" s="6">
        <f t="shared" si="3"/>
        <v>0.1072</v>
      </c>
      <c r="N63" s="5">
        <f t="shared" si="4"/>
        <v>2.5728</v>
      </c>
    </row>
    <row r="64" spans="1:14" x14ac:dyDescent="0.25">
      <c r="A64" s="34" t="s">
        <v>129</v>
      </c>
      <c r="B64" s="4" t="s">
        <v>28</v>
      </c>
      <c r="C64" s="2" t="str">
        <f>CONCATENATE("□",I64,"×",J64,"×",K64)</f>
        <v>□420×50×420</v>
      </c>
      <c r="D64" s="2">
        <v>4</v>
      </c>
      <c r="E64" s="3">
        <f t="shared" si="7"/>
        <v>69.236999999999995</v>
      </c>
      <c r="F64" s="3">
        <f t="shared" si="1"/>
        <v>276.94799999999998</v>
      </c>
      <c r="I64" s="1">
        <v>420</v>
      </c>
      <c r="J64" s="1">
        <v>50</v>
      </c>
      <c r="K64" s="1">
        <v>420</v>
      </c>
      <c r="M64" s="6">
        <f t="shared" si="3"/>
        <v>0.3528</v>
      </c>
      <c r="N64" s="5">
        <f t="shared" si="4"/>
        <v>1.4112</v>
      </c>
    </row>
    <row r="65" spans="1:14" x14ac:dyDescent="0.25">
      <c r="A65" s="34"/>
      <c r="B65" s="4" t="s">
        <v>29</v>
      </c>
      <c r="C65" s="14" t="str">
        <f>CONCATENATE("φ(内)",I65,"×",J65,"×",K65,"(平均)")</f>
        <v>φ(内)985×24×257(平均)</v>
      </c>
      <c r="D65" s="2">
        <v>4</v>
      </c>
      <c r="E65" s="16">
        <f>21186.9009*K65/1000000000*7850</f>
        <v>42.743513220704997</v>
      </c>
      <c r="F65" s="3">
        <f t="shared" si="1"/>
        <v>170.97405288281999</v>
      </c>
      <c r="I65" s="1">
        <v>985</v>
      </c>
      <c r="J65" s="1">
        <v>24</v>
      </c>
      <c r="K65" s="1">
        <v>257</v>
      </c>
      <c r="M65" s="6">
        <f t="shared" si="3"/>
        <v>0.50629000000000002</v>
      </c>
      <c r="N65" s="5">
        <f t="shared" si="4"/>
        <v>2.0251600000000001</v>
      </c>
    </row>
    <row r="66" spans="1:14" x14ac:dyDescent="0.25">
      <c r="A66" s="34"/>
      <c r="B66" s="4" t="s">
        <v>44</v>
      </c>
      <c r="C66" s="2" t="str">
        <f>CONCATENATE("□",I66,"×",J66,"×",K66)</f>
        <v>□100×16×700</v>
      </c>
      <c r="D66" s="2">
        <f>6*D65</f>
        <v>24</v>
      </c>
      <c r="E66" s="3">
        <f>IF(L66&gt;0,(L66*J66/1000000000*7850),(I66*J66*K66/1000000000*7850))</f>
        <v>8.0070000000000014</v>
      </c>
      <c r="F66" s="3">
        <f t="shared" si="1"/>
        <v>192.16800000000003</v>
      </c>
      <c r="I66" s="1">
        <v>100</v>
      </c>
      <c r="J66" s="1">
        <v>16</v>
      </c>
      <c r="K66" s="1">
        <v>700</v>
      </c>
      <c r="L66" s="1">
        <v>63750</v>
      </c>
      <c r="M66" s="6">
        <f t="shared" si="3"/>
        <v>0.1275</v>
      </c>
      <c r="N66" s="5">
        <f t="shared" si="4"/>
        <v>3.06</v>
      </c>
    </row>
    <row r="67" spans="1:14" x14ac:dyDescent="0.25">
      <c r="A67" s="37"/>
      <c r="B67" s="34" t="s">
        <v>23</v>
      </c>
      <c r="C67" s="34"/>
      <c r="D67" s="34"/>
      <c r="E67" s="34"/>
      <c r="F67" s="7">
        <f>SUM(F21:F66)</f>
        <v>268887.85038886504</v>
      </c>
    </row>
    <row r="68" spans="1:14" x14ac:dyDescent="0.25">
      <c r="A68" s="38"/>
      <c r="B68" s="34" t="s">
        <v>26</v>
      </c>
      <c r="C68" s="34"/>
      <c r="D68" s="34"/>
      <c r="E68" s="34"/>
      <c r="F68" s="8">
        <f>F67*0.015</f>
        <v>4033.3177558329753</v>
      </c>
    </row>
    <row r="69" spans="1:14" x14ac:dyDescent="0.25">
      <c r="A69" s="39"/>
      <c r="B69" s="34" t="s">
        <v>24</v>
      </c>
      <c r="C69" s="34"/>
      <c r="D69" s="34"/>
      <c r="E69" s="34"/>
      <c r="F69" s="7">
        <f>F67+F68</f>
        <v>272921.16814469802</v>
      </c>
    </row>
    <row r="77" spans="1:14" x14ac:dyDescent="0.25">
      <c r="B77" s="34" t="s">
        <v>98</v>
      </c>
      <c r="C77" s="4" t="s">
        <v>102</v>
      </c>
      <c r="D77" s="4" t="s">
        <v>99</v>
      </c>
    </row>
    <row r="78" spans="1:14" x14ac:dyDescent="0.25">
      <c r="B78" s="34"/>
      <c r="C78" s="4" t="s">
        <v>95</v>
      </c>
      <c r="D78" s="4" t="s">
        <v>113</v>
      </c>
    </row>
    <row r="79" spans="1:14" x14ac:dyDescent="0.25">
      <c r="B79" s="34" t="s">
        <v>103</v>
      </c>
      <c r="C79" s="4" t="s">
        <v>104</v>
      </c>
      <c r="D79" s="8">
        <f>SUMIF($J$21:$J$66,"10",$F$21:$F$66)</f>
        <v>2149.7915800000001</v>
      </c>
    </row>
    <row r="80" spans="1:14" x14ac:dyDescent="0.25">
      <c r="B80" s="34"/>
      <c r="C80" s="4" t="s">
        <v>105</v>
      </c>
      <c r="D80" s="8">
        <f>SUMIF($J$21:$J$66,"12",$F$21:$F$66)</f>
        <v>52053.700548482157</v>
      </c>
    </row>
    <row r="81" spans="2:4" x14ac:dyDescent="0.25">
      <c r="B81" s="34"/>
      <c r="C81" s="4" t="s">
        <v>106</v>
      </c>
      <c r="D81" s="8">
        <f>SUMIF($J$21:$J$66,"14",$F$21:$F$66)</f>
        <v>22664.603711272739</v>
      </c>
    </row>
    <row r="82" spans="2:4" x14ac:dyDescent="0.25">
      <c r="B82" s="34"/>
      <c r="C82" s="4" t="s">
        <v>107</v>
      </c>
      <c r="D82" s="8">
        <f>SUMIF($J$21:$J$66,"16",$F$21:$F$66)</f>
        <v>111221.97261811905</v>
      </c>
    </row>
    <row r="83" spans="2:4" x14ac:dyDescent="0.25">
      <c r="B83" s="34"/>
      <c r="C83" s="4" t="s">
        <v>223</v>
      </c>
      <c r="D83" s="8">
        <f>SUMIF($J$21:$J$66,"20",$F$21:$F$66)</f>
        <v>5649.0545281495988</v>
      </c>
    </row>
    <row r="84" spans="2:4" x14ac:dyDescent="0.25">
      <c r="B84" s="34"/>
      <c r="C84" s="4" t="s">
        <v>108</v>
      </c>
      <c r="D84" s="8">
        <f>SUMIF($J$21:$J$66,"24",$F$21:$F$66)</f>
        <v>5724.6669328828202</v>
      </c>
    </row>
    <row r="85" spans="2:4" x14ac:dyDescent="0.25">
      <c r="B85" s="34"/>
      <c r="C85" s="4" t="s">
        <v>109</v>
      </c>
      <c r="D85" s="8">
        <f>SUMIF($J$21:$J$66,"28",$F$21:$F$66)</f>
        <v>17340.870980928878</v>
      </c>
    </row>
    <row r="86" spans="2:4" x14ac:dyDescent="0.25">
      <c r="B86" s="34"/>
      <c r="C86" s="4" t="s">
        <v>222</v>
      </c>
      <c r="D86" s="8">
        <f>SUMIF($J$21:$J$66,"32",$F$21:$F$66)</f>
        <v>51269.228917349756</v>
      </c>
    </row>
    <row r="87" spans="2:4" x14ac:dyDescent="0.25">
      <c r="B87" s="34"/>
      <c r="C87" s="4" t="s">
        <v>110</v>
      </c>
      <c r="D87" s="8">
        <f>SUMIF($J$21:$J$66,"50",$F$21:$F$66)</f>
        <v>276.94799999999998</v>
      </c>
    </row>
    <row r="88" spans="2:4" x14ac:dyDescent="0.25">
      <c r="B88" s="34"/>
      <c r="C88" s="4" t="s">
        <v>111</v>
      </c>
      <c r="D88" s="8">
        <f>SUMIF($J$21:$J$66,"8",$F$21:$F$66)</f>
        <v>537.01257168000006</v>
      </c>
    </row>
    <row r="89" spans="2:4" x14ac:dyDescent="0.25">
      <c r="B89" s="34"/>
      <c r="C89" s="4" t="s">
        <v>112</v>
      </c>
      <c r="D89" s="8">
        <f>SUM(D79:D88)</f>
        <v>268887.85038886499</v>
      </c>
    </row>
    <row r="90" spans="2:4" x14ac:dyDescent="0.25">
      <c r="B90" s="34"/>
      <c r="C90" s="4" t="s">
        <v>114</v>
      </c>
      <c r="D90" s="8">
        <f>D89*0.015</f>
        <v>4033.3177558329749</v>
      </c>
    </row>
    <row r="91" spans="2:4" x14ac:dyDescent="0.25">
      <c r="B91" s="34"/>
      <c r="C91" s="4" t="s">
        <v>115</v>
      </c>
      <c r="D91" s="7">
        <f>D89+D90</f>
        <v>272921.16814469796</v>
      </c>
    </row>
    <row r="92" spans="2:4" x14ac:dyDescent="0.25">
      <c r="B92" s="34" t="s">
        <v>25</v>
      </c>
      <c r="C92" s="4" t="s">
        <v>116</v>
      </c>
      <c r="D92" s="7">
        <f>SUM(N21:N66)-D93</f>
        <v>1510.0832699461416</v>
      </c>
    </row>
    <row r="93" spans="2:4" x14ac:dyDescent="0.25">
      <c r="B93" s="34"/>
      <c r="C93" s="4" t="s">
        <v>117</v>
      </c>
      <c r="D93" s="8">
        <f>(N21+N26+N29+N30)/2+(N21/2)*0.6815+N25+N35+SUM(N47:N52)</f>
        <v>2534.1653075038594</v>
      </c>
    </row>
  </sheetData>
  <mergeCells count="15">
    <mergeCell ref="B77:B78"/>
    <mergeCell ref="B79:B91"/>
    <mergeCell ref="B92:B93"/>
    <mergeCell ref="A47:A63"/>
    <mergeCell ref="A64:A66"/>
    <mergeCell ref="A67:A69"/>
    <mergeCell ref="B67:E67"/>
    <mergeCell ref="B68:E68"/>
    <mergeCell ref="B69:E69"/>
    <mergeCell ref="A35:A46"/>
    <mergeCell ref="B2:B3"/>
    <mergeCell ref="M20:N20"/>
    <mergeCell ref="A21:A24"/>
    <mergeCell ref="A25:A28"/>
    <mergeCell ref="A29:A3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77FA-384C-4459-B2C2-AC11D6A087BA}">
  <dimension ref="A5:P115"/>
  <sheetViews>
    <sheetView topLeftCell="A76" workbookViewId="0">
      <selection activeCell="I83" sqref="I83:L85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5.21875" style="1" customWidth="1"/>
    <col min="4" max="4" width="11" style="1" customWidth="1"/>
    <col min="5" max="5" width="13.109375" style="1" customWidth="1"/>
    <col min="6" max="6" width="9.44140625" style="1" bestFit="1" customWidth="1"/>
    <col min="7" max="8" width="9.109375" style="1" bestFit="1" customWidth="1"/>
    <col min="9" max="9" width="9.88671875" style="1" bestFit="1" customWidth="1"/>
    <col min="10" max="10" width="9" style="1"/>
    <col min="11" max="11" width="9.88671875" style="1" customWidth="1"/>
    <col min="12" max="13" width="11.6640625" style="1" bestFit="1" customWidth="1"/>
    <col min="14" max="16384" width="9" style="1"/>
  </cols>
  <sheetData>
    <row r="5" spans="1:16" ht="13.5" customHeight="1" x14ac:dyDescent="0.25">
      <c r="A5" s="4" t="s">
        <v>177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I5" s="1" t="s">
        <v>6</v>
      </c>
      <c r="J5" s="1" t="s">
        <v>7</v>
      </c>
      <c r="K5" s="1" t="s">
        <v>8</v>
      </c>
      <c r="L5" s="1" t="s">
        <v>9</v>
      </c>
      <c r="M5" s="36" t="s">
        <v>25</v>
      </c>
      <c r="N5" s="36"/>
    </row>
    <row r="6" spans="1:16" x14ac:dyDescent="0.25">
      <c r="A6" s="34" t="s">
        <v>176</v>
      </c>
      <c r="B6" s="2" t="s">
        <v>11</v>
      </c>
      <c r="C6" s="2" t="str">
        <f t="shared" ref="C6:C60" si="0">CONCATENATE("□",I6,"×",J6,"×",K6)</f>
        <v>□19380×16×45500</v>
      </c>
      <c r="D6" s="2">
        <v>1</v>
      </c>
      <c r="E6" s="3">
        <f>IF(L6&gt;0,(L6*J6/1000000000*7850),(I6*J6*K6/1000000000*7850))</f>
        <v>109178.01310073465</v>
      </c>
      <c r="F6" s="3">
        <f t="shared" ref="F6:F88" si="1">D6*E6</f>
        <v>109178.01310073465</v>
      </c>
      <c r="I6" s="1">
        <v>19380</v>
      </c>
      <c r="J6" s="1">
        <v>16</v>
      </c>
      <c r="K6" s="5">
        <v>45500</v>
      </c>
      <c r="L6" s="1">
        <v>869251696.66190004</v>
      </c>
      <c r="M6" s="6">
        <f>IF(L6&gt;0,(L6*2/1000000),(I6*K6*2/1000000))</f>
        <v>1738.5033933238001</v>
      </c>
      <c r="N6" s="5">
        <f t="shared" ref="N6" si="2">D6*M6</f>
        <v>1738.5033933238001</v>
      </c>
      <c r="P6" s="5"/>
    </row>
    <row r="7" spans="1:16" x14ac:dyDescent="0.25">
      <c r="A7" s="34"/>
      <c r="B7" s="4" t="s">
        <v>14</v>
      </c>
      <c r="C7" s="2" t="str">
        <f t="shared" si="0"/>
        <v>□460×24×19437</v>
      </c>
      <c r="D7" s="2">
        <v>2</v>
      </c>
      <c r="E7" s="3">
        <f>IF(L7&gt;0,(L7*J7/1000000000*7850),(I7*J7*K7/1000000000*7850))</f>
        <v>1684.4881679999999</v>
      </c>
      <c r="F7" s="3">
        <f t="shared" si="1"/>
        <v>3368.9763359999997</v>
      </c>
      <c r="I7" s="1">
        <v>460</v>
      </c>
      <c r="J7" s="1">
        <v>24</v>
      </c>
      <c r="K7" s="5">
        <v>19437</v>
      </c>
      <c r="M7" s="6">
        <f t="shared" ref="M7:M68" si="3">IF(L7&gt;0,(L7*2/1000000),(I7*K7*2/1000000))</f>
        <v>17.88204</v>
      </c>
      <c r="N7" s="5">
        <f t="shared" ref="N7:N68" si="4">D7*M7</f>
        <v>35.76408</v>
      </c>
      <c r="P7" s="5"/>
    </row>
    <row r="8" spans="1:16" ht="15" customHeight="1" x14ac:dyDescent="0.25">
      <c r="A8" s="34"/>
      <c r="B8" s="4" t="s">
        <v>32</v>
      </c>
      <c r="C8" s="9" t="str">
        <f>CONCATENATE("□",I8,"×",J8,"×",K8,"(总长)")</f>
        <v>□140×12×794500(总长)</v>
      </c>
      <c r="D8" s="2">
        <v>1</v>
      </c>
      <c r="E8" s="3">
        <f>IF(L8&gt;0,(L8*J8/1000000000*7850),(I8*J8*K8/1000000000*7850))</f>
        <v>10477.866</v>
      </c>
      <c r="F8" s="3">
        <f t="shared" si="1"/>
        <v>10477.866</v>
      </c>
      <c r="I8" s="1">
        <v>140</v>
      </c>
      <c r="J8" s="1">
        <v>12</v>
      </c>
      <c r="K8" s="5">
        <f>397250*2</f>
        <v>794500</v>
      </c>
      <c r="M8" s="6">
        <f t="shared" si="3"/>
        <v>222.46</v>
      </c>
      <c r="N8" s="5">
        <f t="shared" si="4"/>
        <v>222.46</v>
      </c>
      <c r="P8" s="5"/>
    </row>
    <row r="9" spans="1:16" x14ac:dyDescent="0.25">
      <c r="A9" s="34"/>
      <c r="B9" s="11" t="s">
        <v>31</v>
      </c>
      <c r="C9" s="12" t="str">
        <f>CONCATENATE("U",I9,"×",J9,"×",K9)</f>
        <v>U300×8×19010</v>
      </c>
      <c r="D9" s="12">
        <v>40</v>
      </c>
      <c r="E9" s="13">
        <f>L9*I9/1000000000*7850</f>
        <v>13.425314292000001</v>
      </c>
      <c r="F9" s="13">
        <f t="shared" si="1"/>
        <v>537.01257168000006</v>
      </c>
      <c r="I9" s="1">
        <v>300</v>
      </c>
      <c r="J9" s="1">
        <v>8</v>
      </c>
      <c r="K9" s="5">
        <v>19010</v>
      </c>
      <c r="L9" s="1">
        <v>5700.7704000000003</v>
      </c>
      <c r="M9" s="6">
        <f t="shared" si="3"/>
        <v>1.14015408E-2</v>
      </c>
      <c r="N9" s="5">
        <f t="shared" si="4"/>
        <v>0.45606163199999999</v>
      </c>
      <c r="P9" s="5"/>
    </row>
    <row r="10" spans="1:16" x14ac:dyDescent="0.25">
      <c r="A10" s="37" t="s">
        <v>175</v>
      </c>
      <c r="B10" s="2" t="s">
        <v>10</v>
      </c>
      <c r="C10" s="2" t="str">
        <f t="shared" si="0"/>
        <v>□500×16×19518</v>
      </c>
      <c r="D10" s="2">
        <v>3</v>
      </c>
      <c r="E10" s="3">
        <f t="shared" ref="E10:E88" si="5">IF(L10&gt;0,(L10*J10/1000000000*7850),(I10*J10*K10/1000000000*7850))</f>
        <v>1225.7304000000001</v>
      </c>
      <c r="F10" s="3">
        <f t="shared" si="1"/>
        <v>3677.1912000000002</v>
      </c>
      <c r="I10" s="1">
        <v>500</v>
      </c>
      <c r="J10" s="1">
        <v>16</v>
      </c>
      <c r="K10" s="5">
        <f>9759*2</f>
        <v>19518</v>
      </c>
      <c r="M10" s="6">
        <f t="shared" si="3"/>
        <v>19.518000000000001</v>
      </c>
      <c r="N10" s="5">
        <f t="shared" si="4"/>
        <v>58.554000000000002</v>
      </c>
      <c r="P10" s="5"/>
    </row>
    <row r="11" spans="1:16" x14ac:dyDescent="0.25">
      <c r="A11" s="38"/>
      <c r="B11" s="2" t="s">
        <v>30</v>
      </c>
      <c r="C11" s="2" t="str">
        <f>CONCATENATE("□",I11,"×",J11,"×",K11)</f>
        <v>□8813×16×19778</v>
      </c>
      <c r="D11" s="2">
        <v>1</v>
      </c>
      <c r="E11" s="3">
        <f>IF(L11&gt;0,(L11*J11/1000000000*7850),(I11*J11*K11/1000000000*7850))</f>
        <v>21892.521358399998</v>
      </c>
      <c r="F11" s="3">
        <f>D11*E11</f>
        <v>21892.521358399998</v>
      </c>
      <c r="I11" s="1">
        <v>8813</v>
      </c>
      <c r="J11" s="1">
        <v>16</v>
      </c>
      <c r="K11" s="5">
        <f>9889*2</f>
        <v>19778</v>
      </c>
      <c r="M11" s="6">
        <f t="shared" si="3"/>
        <v>348.60702800000001</v>
      </c>
      <c r="N11" s="5">
        <f t="shared" si="4"/>
        <v>348.60702800000001</v>
      </c>
      <c r="P11" s="5"/>
    </row>
    <row r="12" spans="1:16" x14ac:dyDescent="0.25">
      <c r="A12" s="38"/>
      <c r="B12" s="2" t="s">
        <v>37</v>
      </c>
      <c r="C12" s="2" t="str">
        <f t="shared" si="0"/>
        <v>□8696×36×19780</v>
      </c>
      <c r="D12" s="2">
        <v>2</v>
      </c>
      <c r="E12" s="3">
        <f t="shared" si="5"/>
        <v>45355.047450337443</v>
      </c>
      <c r="F12" s="3">
        <f t="shared" si="1"/>
        <v>90710.094900674885</v>
      </c>
      <c r="I12" s="1">
        <v>8696</v>
      </c>
      <c r="J12" s="1">
        <v>36</v>
      </c>
      <c r="K12" s="5">
        <v>19780</v>
      </c>
      <c r="L12" s="1">
        <v>160492029.19440001</v>
      </c>
      <c r="M12" s="6">
        <f t="shared" si="3"/>
        <v>320.98405838880001</v>
      </c>
      <c r="N12" s="5">
        <f t="shared" si="4"/>
        <v>641.96811677760002</v>
      </c>
      <c r="P12" s="5"/>
    </row>
    <row r="13" spans="1:16" x14ac:dyDescent="0.25">
      <c r="A13" s="38"/>
      <c r="B13" s="2" t="s">
        <v>184</v>
      </c>
      <c r="C13" s="15" t="str">
        <f>CONCATENATE("□",I13,"×",J13,"×",K13,"(平均)")</f>
        <v>□380×16×3021(平均)</v>
      </c>
      <c r="D13" s="2">
        <v>14</v>
      </c>
      <c r="E13" s="16">
        <f t="shared" si="5"/>
        <v>144.18628800000002</v>
      </c>
      <c r="F13" s="3">
        <f t="shared" si="1"/>
        <v>2018.6080320000003</v>
      </c>
      <c r="I13" s="1">
        <v>380</v>
      </c>
      <c r="J13" s="1">
        <v>16</v>
      </c>
      <c r="K13" s="5">
        <f>(2656+3386)/2</f>
        <v>3021</v>
      </c>
      <c r="M13" s="6">
        <f t="shared" si="3"/>
        <v>2.29596</v>
      </c>
      <c r="N13" s="5">
        <f t="shared" si="4"/>
        <v>32.143439999999998</v>
      </c>
      <c r="P13" s="5"/>
    </row>
    <row r="14" spans="1:16" x14ac:dyDescent="0.25">
      <c r="A14" s="38"/>
      <c r="B14" s="2" t="s">
        <v>185</v>
      </c>
      <c r="C14" s="26" t="str">
        <f>CONCATENATE("□",I14,"×",J14,"×",K14)</f>
        <v>□246×16×2656</v>
      </c>
      <c r="D14" s="2">
        <v>2</v>
      </c>
      <c r="E14" s="3">
        <f t="shared" si="5"/>
        <v>82.064025599999994</v>
      </c>
      <c r="F14" s="3">
        <f t="shared" si="1"/>
        <v>164.12805119999999</v>
      </c>
      <c r="I14" s="1">
        <v>246</v>
      </c>
      <c r="J14" s="1">
        <v>16</v>
      </c>
      <c r="K14" s="5">
        <v>2656</v>
      </c>
      <c r="M14" s="6">
        <f t="shared" si="3"/>
        <v>1.3067519999999999</v>
      </c>
      <c r="N14" s="5">
        <f t="shared" si="4"/>
        <v>2.6135039999999998</v>
      </c>
      <c r="P14" s="5"/>
    </row>
    <row r="15" spans="1:16" ht="15" customHeight="1" x14ac:dyDescent="0.25">
      <c r="A15" s="38"/>
      <c r="B15" s="2" t="s">
        <v>15</v>
      </c>
      <c r="C15" s="9" t="str">
        <f>CONCATENATE("□",I15,"×",J15,"×",K15,"(总长)")</f>
        <v>□140×12×352038(总长)</v>
      </c>
      <c r="D15" s="2">
        <v>1</v>
      </c>
      <c r="E15" s="3">
        <f t="shared" si="5"/>
        <v>4642.6771440000002</v>
      </c>
      <c r="F15" s="3">
        <f t="shared" si="1"/>
        <v>4642.6771440000002</v>
      </c>
      <c r="I15" s="1">
        <v>140</v>
      </c>
      <c r="J15" s="1">
        <v>12</v>
      </c>
      <c r="K15" s="5">
        <f>176019*2</f>
        <v>352038</v>
      </c>
      <c r="M15" s="6">
        <f t="shared" si="3"/>
        <v>98.570639999999997</v>
      </c>
      <c r="N15" s="5">
        <f t="shared" si="4"/>
        <v>98.570639999999997</v>
      </c>
      <c r="P15" s="5"/>
    </row>
    <row r="16" spans="1:16" x14ac:dyDescent="0.25">
      <c r="A16" s="39"/>
      <c r="B16" s="2" t="s">
        <v>191</v>
      </c>
      <c r="C16" s="26" t="str">
        <f>CONCATENATE("□",I16,"×",J16,"×",K16)</f>
        <v>□140×12×19878</v>
      </c>
      <c r="D16" s="2">
        <v>12</v>
      </c>
      <c r="E16" s="3">
        <f>IF(L16&gt;0,(L16*J16/1000000000*7850),(I16*J16*K16/1000000000*7850))</f>
        <v>262.15106400000002</v>
      </c>
      <c r="F16" s="3">
        <f>D16*E16</f>
        <v>3145.8127680000002</v>
      </c>
      <c r="I16" s="1">
        <v>140</v>
      </c>
      <c r="J16" s="1">
        <v>12</v>
      </c>
      <c r="K16" s="5">
        <f>9939*2</f>
        <v>19878</v>
      </c>
      <c r="M16" s="6">
        <f t="shared" si="3"/>
        <v>5.5658399999999997</v>
      </c>
      <c r="N16" s="5">
        <f t="shared" si="4"/>
        <v>66.790079999999989</v>
      </c>
      <c r="P16" s="5"/>
    </row>
    <row r="17" spans="1:16" x14ac:dyDescent="0.25">
      <c r="A17" s="37" t="s">
        <v>174</v>
      </c>
      <c r="B17" s="4" t="s">
        <v>12</v>
      </c>
      <c r="C17" s="2" t="str">
        <f t="shared" si="0"/>
        <v>□3056×14×19749</v>
      </c>
      <c r="D17" s="2">
        <v>2</v>
      </c>
      <c r="E17" s="3">
        <f t="shared" si="5"/>
        <v>6615.7027780302906</v>
      </c>
      <c r="F17" s="3">
        <f t="shared" si="1"/>
        <v>13231.405556060581</v>
      </c>
      <c r="I17" s="1">
        <v>3056</v>
      </c>
      <c r="J17" s="1">
        <v>14</v>
      </c>
      <c r="K17" s="5">
        <v>19749</v>
      </c>
      <c r="L17" s="1">
        <v>60197477.507100001</v>
      </c>
      <c r="M17" s="6">
        <f t="shared" si="3"/>
        <v>120.39495501420001</v>
      </c>
      <c r="N17" s="5">
        <f t="shared" si="4"/>
        <v>240.78991002840002</v>
      </c>
      <c r="P17" s="5"/>
    </row>
    <row r="18" spans="1:16" x14ac:dyDescent="0.25">
      <c r="A18" s="38"/>
      <c r="B18" s="4" t="s">
        <v>13</v>
      </c>
      <c r="C18" s="2" t="str">
        <f t="shared" si="0"/>
        <v>□2285×14×19218</v>
      </c>
      <c r="D18" s="2">
        <v>2</v>
      </c>
      <c r="E18" s="3">
        <f t="shared" si="5"/>
        <v>4826.052987</v>
      </c>
      <c r="F18" s="3">
        <f t="shared" si="1"/>
        <v>9652.1059740000001</v>
      </c>
      <c r="I18" s="1">
        <v>2285</v>
      </c>
      <c r="J18" s="1">
        <v>14</v>
      </c>
      <c r="K18" s="5">
        <v>19218</v>
      </c>
      <c r="M18" s="6">
        <f t="shared" si="3"/>
        <v>87.826260000000005</v>
      </c>
      <c r="N18" s="5">
        <f t="shared" si="4"/>
        <v>175.65252000000001</v>
      </c>
      <c r="P18" s="5"/>
    </row>
    <row r="19" spans="1:16" x14ac:dyDescent="0.25">
      <c r="A19" s="38"/>
      <c r="B19" s="4" t="s">
        <v>178</v>
      </c>
      <c r="C19" s="2" t="str">
        <f t="shared" si="0"/>
        <v>□2195×40×16283</v>
      </c>
      <c r="D19" s="2">
        <v>2</v>
      </c>
      <c r="E19" s="3">
        <f t="shared" si="5"/>
        <v>10733.9615517374</v>
      </c>
      <c r="F19" s="3">
        <f t="shared" si="1"/>
        <v>21467.923103474801</v>
      </c>
      <c r="I19" s="1">
        <v>2195</v>
      </c>
      <c r="J19" s="1">
        <v>40</v>
      </c>
      <c r="K19" s="5">
        <v>16283</v>
      </c>
      <c r="L19" s="1">
        <v>34184590.929099999</v>
      </c>
      <c r="M19" s="6">
        <f t="shared" si="3"/>
        <v>68.369181858199994</v>
      </c>
      <c r="N19" s="5">
        <f t="shared" si="4"/>
        <v>136.73836371639999</v>
      </c>
      <c r="P19" s="5"/>
    </row>
    <row r="20" spans="1:16" x14ac:dyDescent="0.25">
      <c r="A20" s="38"/>
      <c r="B20" s="4" t="s">
        <v>229</v>
      </c>
      <c r="C20" s="2" t="str">
        <f t="shared" si="0"/>
        <v>□2195×24×138</v>
      </c>
      <c r="D20" s="2">
        <v>2</v>
      </c>
      <c r="E20" s="3">
        <f t="shared" si="5"/>
        <v>57.068244</v>
      </c>
      <c r="F20" s="3">
        <f t="shared" si="1"/>
        <v>114.136488</v>
      </c>
      <c r="I20" s="1">
        <v>2195</v>
      </c>
      <c r="J20" s="1">
        <v>24</v>
      </c>
      <c r="K20" s="5">
        <v>138</v>
      </c>
      <c r="M20" s="6">
        <f t="shared" si="3"/>
        <v>0.60582000000000003</v>
      </c>
      <c r="N20" s="5">
        <f t="shared" si="4"/>
        <v>1.2116400000000001</v>
      </c>
      <c r="P20" s="5"/>
    </row>
    <row r="21" spans="1:16" x14ac:dyDescent="0.25">
      <c r="A21" s="38"/>
      <c r="B21" s="4" t="s">
        <v>186</v>
      </c>
      <c r="C21" s="2" t="str">
        <f t="shared" si="0"/>
        <v>□2187×40×18418</v>
      </c>
      <c r="D21" s="2">
        <v>2</v>
      </c>
      <c r="E21" s="3">
        <f t="shared" si="5"/>
        <v>12213.867028732398</v>
      </c>
      <c r="F21" s="3">
        <f t="shared" si="1"/>
        <v>24427.734057464797</v>
      </c>
      <c r="I21" s="1">
        <v>2187</v>
      </c>
      <c r="J21" s="1">
        <v>40</v>
      </c>
      <c r="K21" s="5">
        <v>18418</v>
      </c>
      <c r="L21" s="1">
        <v>38897665.696599998</v>
      </c>
      <c r="M21" s="6">
        <f t="shared" si="3"/>
        <v>77.795331393200001</v>
      </c>
      <c r="N21" s="5">
        <f t="shared" si="4"/>
        <v>155.5906627864</v>
      </c>
      <c r="P21" s="5"/>
    </row>
    <row r="22" spans="1:16" x14ac:dyDescent="0.25">
      <c r="A22" s="38"/>
      <c r="B22" s="4" t="s">
        <v>230</v>
      </c>
      <c r="C22" s="2" t="str">
        <f t="shared" ref="C22" si="6">CONCATENATE("□",I22,"×",J22,"×",K22)</f>
        <v>□2187×24×138</v>
      </c>
      <c r="D22" s="2">
        <v>2</v>
      </c>
      <c r="E22" s="3">
        <f t="shared" ref="E22" si="7">IF(L22&gt;0,(L22*J22/1000000000*7850),(I22*J22*K22/1000000000*7850))</f>
        <v>56.860250399999998</v>
      </c>
      <c r="F22" s="3">
        <f t="shared" ref="F22" si="8">D22*E22</f>
        <v>113.7205008</v>
      </c>
      <c r="I22" s="1">
        <f>I21</f>
        <v>2187</v>
      </c>
      <c r="J22" s="1">
        <v>24</v>
      </c>
      <c r="K22" s="5">
        <v>138</v>
      </c>
      <c r="M22" s="6">
        <f t="shared" si="3"/>
        <v>0.60361200000000004</v>
      </c>
      <c r="N22" s="5">
        <f t="shared" si="4"/>
        <v>1.2072240000000001</v>
      </c>
      <c r="P22" s="5"/>
    </row>
    <row r="23" spans="1:16" x14ac:dyDescent="0.25">
      <c r="A23" s="38"/>
      <c r="B23" s="4" t="s">
        <v>187</v>
      </c>
      <c r="C23" s="2" t="str">
        <f t="shared" si="0"/>
        <v>□2179×40×19683</v>
      </c>
      <c r="D23" s="2">
        <v>2</v>
      </c>
      <c r="E23" s="3">
        <f>IF(L23&gt;0,(L23*J23/1000000000*7850),(I23*J23*K23/1000000000*7850))</f>
        <v>13467.226697999999</v>
      </c>
      <c r="F23" s="3">
        <f>D23*E23</f>
        <v>26934.453395999997</v>
      </c>
      <c r="I23" s="1">
        <v>2179</v>
      </c>
      <c r="J23" s="1">
        <v>40</v>
      </c>
      <c r="K23" s="5">
        <v>19683</v>
      </c>
      <c r="M23" s="6">
        <f t="shared" si="3"/>
        <v>85.778514000000001</v>
      </c>
      <c r="N23" s="5">
        <f t="shared" si="4"/>
        <v>171.557028</v>
      </c>
      <c r="P23" s="5"/>
    </row>
    <row r="24" spans="1:16" x14ac:dyDescent="0.25">
      <c r="A24" s="38"/>
      <c r="B24" s="4" t="s">
        <v>231</v>
      </c>
      <c r="C24" s="2" t="str">
        <f t="shared" ref="C24" si="9">CONCATENATE("□",I24,"×",J24,"×",K24)</f>
        <v>□2179×24×138</v>
      </c>
      <c r="D24" s="2">
        <v>2</v>
      </c>
      <c r="E24" s="3">
        <f t="shared" ref="E24" si="10">IF(L24&gt;0,(L24*J24/1000000000*7850),(I24*J24*K24/1000000000*7850))</f>
        <v>56.652256799999996</v>
      </c>
      <c r="F24" s="3">
        <f t="shared" ref="F24" si="11">D24*E24</f>
        <v>113.30451359999999</v>
      </c>
      <c r="I24" s="1">
        <f>I23</f>
        <v>2179</v>
      </c>
      <c r="J24" s="1">
        <v>24</v>
      </c>
      <c r="K24" s="5">
        <v>138</v>
      </c>
      <c r="M24" s="6">
        <f t="shared" si="3"/>
        <v>0.60140400000000005</v>
      </c>
      <c r="N24" s="5">
        <f t="shared" si="4"/>
        <v>1.2028080000000001</v>
      </c>
      <c r="P24" s="5"/>
    </row>
    <row r="25" spans="1:16" x14ac:dyDescent="0.25">
      <c r="A25" s="38"/>
      <c r="B25" s="4" t="s">
        <v>190</v>
      </c>
      <c r="C25" s="15" t="str">
        <f>CONCATENATE("□",I25,"×",J25,"×",K25,"(平均)")</f>
        <v>□2126×12×2353(平均)</v>
      </c>
      <c r="D25" s="2">
        <v>16</v>
      </c>
      <c r="E25" s="16">
        <f t="shared" si="5"/>
        <v>398.08149145856999</v>
      </c>
      <c r="F25" s="3">
        <f>D25*E25</f>
        <v>6369.3038633371198</v>
      </c>
      <c r="I25" s="5">
        <f>(1764+2488)/2</f>
        <v>2126</v>
      </c>
      <c r="J25" s="1">
        <v>12</v>
      </c>
      <c r="K25" s="5">
        <f>(2326+2380)/2</f>
        <v>2353</v>
      </c>
      <c r="L25" s="1">
        <f>(3396121.3827+5055714.954)/2</f>
        <v>4225918.1683499999</v>
      </c>
      <c r="M25" s="6">
        <f t="shared" si="3"/>
        <v>8.4518363366999996</v>
      </c>
      <c r="N25" s="5">
        <f t="shared" si="4"/>
        <v>135.22938138719999</v>
      </c>
      <c r="P25" s="5"/>
    </row>
    <row r="26" spans="1:16" ht="15.6" customHeight="1" x14ac:dyDescent="0.25">
      <c r="A26" s="38"/>
      <c r="B26" s="4" t="s">
        <v>16</v>
      </c>
      <c r="C26" s="9" t="str">
        <f>CONCATENATE("□",I26,"×",J26,"×",K26,"(总长)")</f>
        <v>□140×12×746703(总长)</v>
      </c>
      <c r="D26" s="2">
        <v>1</v>
      </c>
      <c r="E26" s="3">
        <f t="shared" si="5"/>
        <v>9847.5191639999994</v>
      </c>
      <c r="F26" s="3">
        <f t="shared" si="1"/>
        <v>9847.5191639999994</v>
      </c>
      <c r="I26" s="1">
        <v>140</v>
      </c>
      <c r="J26" s="1">
        <v>12</v>
      </c>
      <c r="K26" s="5">
        <f>373351.5*2</f>
        <v>746703</v>
      </c>
      <c r="M26" s="6">
        <f t="shared" si="3"/>
        <v>209.07684</v>
      </c>
      <c r="N26" s="5">
        <f t="shared" si="4"/>
        <v>209.07684</v>
      </c>
      <c r="P26" s="5"/>
    </row>
    <row r="27" spans="1:16" x14ac:dyDescent="0.25">
      <c r="A27" s="38"/>
      <c r="B27" s="4" t="s">
        <v>33</v>
      </c>
      <c r="C27" s="2" t="str">
        <f t="shared" si="0"/>
        <v>□176×16×450</v>
      </c>
      <c r="D27" s="2">
        <f>4*4+2</f>
        <v>18</v>
      </c>
      <c r="E27" s="3">
        <f t="shared" si="5"/>
        <v>9.9475200000000008</v>
      </c>
      <c r="F27" s="3">
        <f t="shared" si="1"/>
        <v>179.05536000000001</v>
      </c>
      <c r="I27" s="1">
        <v>176</v>
      </c>
      <c r="J27" s="1">
        <v>16</v>
      </c>
      <c r="K27" s="5">
        <v>450</v>
      </c>
      <c r="M27" s="6">
        <f t="shared" si="3"/>
        <v>0.15840000000000001</v>
      </c>
      <c r="N27" s="5">
        <f t="shared" si="4"/>
        <v>2.8512000000000004</v>
      </c>
      <c r="P27" s="5"/>
    </row>
    <row r="28" spans="1:16" x14ac:dyDescent="0.25">
      <c r="A28" s="38"/>
      <c r="B28" s="4" t="s">
        <v>34</v>
      </c>
      <c r="C28" s="2" t="str">
        <f t="shared" si="0"/>
        <v>□184×16×450</v>
      </c>
      <c r="D28" s="2">
        <v>12</v>
      </c>
      <c r="E28" s="3">
        <f t="shared" si="5"/>
        <v>10.39968</v>
      </c>
      <c r="F28" s="3">
        <f t="shared" si="1"/>
        <v>124.79616</v>
      </c>
      <c r="I28" s="1">
        <v>184</v>
      </c>
      <c r="J28" s="1">
        <v>16</v>
      </c>
      <c r="K28" s="5">
        <v>450</v>
      </c>
      <c r="M28" s="6">
        <f t="shared" si="3"/>
        <v>0.1656</v>
      </c>
      <c r="N28" s="5">
        <f t="shared" si="4"/>
        <v>1.9872000000000001</v>
      </c>
      <c r="P28" s="5"/>
    </row>
    <row r="29" spans="1:16" x14ac:dyDescent="0.25">
      <c r="A29" s="38"/>
      <c r="B29" s="4" t="s">
        <v>288</v>
      </c>
      <c r="C29" s="15" t="str">
        <f>CONCATENATE("□",I29,"×",J29,"×",K29,"(平均)")</f>
        <v>□100×10×1500(平均)</v>
      </c>
      <c r="D29" s="2">
        <f>16*2</f>
        <v>32</v>
      </c>
      <c r="E29" s="16">
        <f t="shared" si="5"/>
        <v>11.775</v>
      </c>
      <c r="F29" s="3">
        <f>D29*E29</f>
        <v>376.8</v>
      </c>
      <c r="I29" s="5">
        <v>100</v>
      </c>
      <c r="J29" s="1">
        <v>10</v>
      </c>
      <c r="K29" s="5">
        <f>(1400+1600)/2</f>
        <v>1500</v>
      </c>
      <c r="M29" s="6">
        <f t="shared" si="3"/>
        <v>0.3</v>
      </c>
      <c r="N29" s="5">
        <f t="shared" si="4"/>
        <v>9.6</v>
      </c>
      <c r="P29" s="5"/>
    </row>
    <row r="30" spans="1:16" x14ac:dyDescent="0.25">
      <c r="A30" s="39"/>
      <c r="B30" s="4" t="s">
        <v>289</v>
      </c>
      <c r="C30" s="2" t="str">
        <f t="shared" si="0"/>
        <v>□100×10×1290</v>
      </c>
      <c r="D30" s="2">
        <f>16*2</f>
        <v>32</v>
      </c>
      <c r="E30" s="3">
        <f t="shared" si="5"/>
        <v>10.1265</v>
      </c>
      <c r="F30" s="3">
        <f>D30*E30</f>
        <v>324.048</v>
      </c>
      <c r="I30" s="5">
        <v>100</v>
      </c>
      <c r="J30" s="1">
        <v>10</v>
      </c>
      <c r="K30" s="5">
        <v>1290</v>
      </c>
      <c r="M30" s="6">
        <f t="shared" si="3"/>
        <v>0.25800000000000001</v>
      </c>
      <c r="N30" s="5">
        <f t="shared" si="4"/>
        <v>8.2560000000000002</v>
      </c>
      <c r="P30" s="5"/>
    </row>
    <row r="31" spans="1:16" x14ac:dyDescent="0.25">
      <c r="A31" s="34" t="s">
        <v>173</v>
      </c>
      <c r="B31" s="4" t="s">
        <v>17</v>
      </c>
      <c r="C31" s="2" t="str">
        <f t="shared" si="0"/>
        <v>□2179×12×4177</v>
      </c>
      <c r="D31" s="2">
        <v>2</v>
      </c>
      <c r="E31" s="3">
        <f t="shared" si="5"/>
        <v>686.43671245092003</v>
      </c>
      <c r="F31" s="3">
        <f t="shared" si="1"/>
        <v>1372.8734249018401</v>
      </c>
      <c r="I31" s="1">
        <v>2179</v>
      </c>
      <c r="J31" s="1">
        <v>12</v>
      </c>
      <c r="K31" s="5">
        <v>4177</v>
      </c>
      <c r="L31" s="1">
        <v>7287013.9325999999</v>
      </c>
      <c r="M31" s="6">
        <f t="shared" si="3"/>
        <v>14.5740278652</v>
      </c>
      <c r="N31" s="5">
        <f t="shared" si="4"/>
        <v>29.148055730399999</v>
      </c>
      <c r="P31" s="5"/>
    </row>
    <row r="32" spans="1:16" x14ac:dyDescent="0.25">
      <c r="A32" s="34"/>
      <c r="B32" s="4" t="s">
        <v>192</v>
      </c>
      <c r="C32" s="2" t="str">
        <f>CONCATENATE("□",I32,"×",J32,"×",K32)</f>
        <v>□788×12×2187</v>
      </c>
      <c r="D32" s="2">
        <v>2</v>
      </c>
      <c r="E32" s="3">
        <f>IF(L32&gt;0,(L32*J32/1000000000*7850),(I32*J32*K32/1000000000*7850))</f>
        <v>133.17539953308</v>
      </c>
      <c r="F32" s="3">
        <f>D32*E32</f>
        <v>266.35079906615999</v>
      </c>
      <c r="I32" s="1">
        <v>788</v>
      </c>
      <c r="J32" s="1">
        <v>12</v>
      </c>
      <c r="K32" s="5">
        <v>2187</v>
      </c>
      <c r="L32" s="1">
        <v>1413751.5874000001</v>
      </c>
      <c r="M32" s="6">
        <f t="shared" si="3"/>
        <v>2.8275031748000004</v>
      </c>
      <c r="N32" s="5">
        <f t="shared" si="4"/>
        <v>5.6550063496000007</v>
      </c>
      <c r="P32" s="5"/>
    </row>
    <row r="33" spans="1:16" x14ac:dyDescent="0.25">
      <c r="A33" s="34"/>
      <c r="B33" s="4" t="s">
        <v>193</v>
      </c>
      <c r="C33" s="2" t="str">
        <f>CONCATENATE("□",I33,"×",J33,"×",K33)</f>
        <v>□2187×12×4443</v>
      </c>
      <c r="D33" s="2">
        <v>2</v>
      </c>
      <c r="E33" s="3">
        <f>IF(L33&gt;0,(L33*J33/1000000000*7850),(I33*J33*K33/1000000000*7850))</f>
        <v>627.85799290967998</v>
      </c>
      <c r="F33" s="3">
        <f>D33*E33</f>
        <v>1255.71598581936</v>
      </c>
      <c r="I33" s="1">
        <v>2187</v>
      </c>
      <c r="J33" s="1">
        <v>12</v>
      </c>
      <c r="K33" s="5">
        <v>4443</v>
      </c>
      <c r="L33" s="1">
        <v>6665159.1604000004</v>
      </c>
      <c r="M33" s="6">
        <f t="shared" si="3"/>
        <v>13.3303183208</v>
      </c>
      <c r="N33" s="5">
        <f t="shared" si="4"/>
        <v>26.6606366416</v>
      </c>
      <c r="P33" s="5"/>
    </row>
    <row r="34" spans="1:16" x14ac:dyDescent="0.25">
      <c r="A34" s="34"/>
      <c r="B34" s="4" t="s">
        <v>18</v>
      </c>
      <c r="C34" s="2" t="str">
        <f t="shared" si="0"/>
        <v>□2179×12×4177</v>
      </c>
      <c r="D34" s="2">
        <v>2</v>
      </c>
      <c r="E34" s="3">
        <f t="shared" si="5"/>
        <v>686.43671242266009</v>
      </c>
      <c r="F34" s="3">
        <f t="shared" si="1"/>
        <v>1372.8734248453202</v>
      </c>
      <c r="I34" s="1">
        <v>2179</v>
      </c>
      <c r="J34" s="1">
        <v>12</v>
      </c>
      <c r="K34" s="5">
        <v>4177</v>
      </c>
      <c r="L34" s="1">
        <v>7287013.9323000005</v>
      </c>
      <c r="M34" s="6">
        <f t="shared" si="3"/>
        <v>14.574027864600001</v>
      </c>
      <c r="N34" s="5">
        <f t="shared" si="4"/>
        <v>29.148055729200003</v>
      </c>
      <c r="P34" s="5"/>
    </row>
    <row r="35" spans="1:16" x14ac:dyDescent="0.25">
      <c r="A35" s="34"/>
      <c r="B35" s="4" t="s">
        <v>167</v>
      </c>
      <c r="C35" s="2" t="str">
        <f t="shared" si="0"/>
        <v>□788×12×2187</v>
      </c>
      <c r="D35" s="2">
        <v>2</v>
      </c>
      <c r="E35" s="3">
        <f t="shared" si="5"/>
        <v>133.17539953308</v>
      </c>
      <c r="F35" s="3">
        <f t="shared" si="1"/>
        <v>266.35079906615999</v>
      </c>
      <c r="I35" s="1">
        <v>788</v>
      </c>
      <c r="J35" s="1">
        <v>12</v>
      </c>
      <c r="K35" s="5">
        <v>2187</v>
      </c>
      <c r="L35" s="1">
        <v>1413751.5874000001</v>
      </c>
      <c r="M35" s="6">
        <f t="shared" si="3"/>
        <v>2.8275031748000004</v>
      </c>
      <c r="N35" s="5">
        <f t="shared" si="4"/>
        <v>5.6550063496000007</v>
      </c>
      <c r="P35" s="5"/>
    </row>
    <row r="36" spans="1:16" x14ac:dyDescent="0.25">
      <c r="A36" s="34"/>
      <c r="B36" s="4" t="s">
        <v>194</v>
      </c>
      <c r="C36" s="2" t="str">
        <f t="shared" si="0"/>
        <v>□788×12×2195</v>
      </c>
      <c r="D36" s="2">
        <v>2</v>
      </c>
      <c r="E36" s="3">
        <f>IF(L36&gt;0,(L36*J36/1000000000*7850),(I36*J36*K36/1000000000*7850))</f>
        <v>133.79307634662001</v>
      </c>
      <c r="F36" s="3">
        <f>D36*E36</f>
        <v>267.58615269324002</v>
      </c>
      <c r="I36" s="1">
        <v>788</v>
      </c>
      <c r="J36" s="1">
        <v>12</v>
      </c>
      <c r="K36" s="5">
        <v>2195</v>
      </c>
      <c r="L36" s="1">
        <v>1420308.6661</v>
      </c>
      <c r="M36" s="6">
        <f t="shared" si="3"/>
        <v>2.8406173321999999</v>
      </c>
      <c r="N36" s="5">
        <f t="shared" si="4"/>
        <v>5.6812346643999998</v>
      </c>
      <c r="P36" s="5"/>
    </row>
    <row r="37" spans="1:16" x14ac:dyDescent="0.25">
      <c r="A37" s="34"/>
      <c r="B37" s="4" t="s">
        <v>195</v>
      </c>
      <c r="C37" s="2" t="str">
        <f t="shared" si="0"/>
        <v>□2195×12×4141</v>
      </c>
      <c r="D37" s="2">
        <v>2</v>
      </c>
      <c r="E37" s="3">
        <f>IF(L37&gt;0,(L37*J37/1000000000*7850),(I37*J37*K37/1000000000*7850))</f>
        <v>566.47542556289989</v>
      </c>
      <c r="F37" s="3">
        <f>D37*E37</f>
        <v>1132.9508511257998</v>
      </c>
      <c r="I37" s="1">
        <v>2195</v>
      </c>
      <c r="J37" s="1">
        <v>12</v>
      </c>
      <c r="K37" s="5">
        <v>4141</v>
      </c>
      <c r="L37" s="1">
        <v>6013539.5494999997</v>
      </c>
      <c r="M37" s="6">
        <f t="shared" si="3"/>
        <v>12.027079099</v>
      </c>
      <c r="N37" s="5">
        <f t="shared" si="4"/>
        <v>24.054158198</v>
      </c>
      <c r="P37" s="5"/>
    </row>
    <row r="38" spans="1:16" x14ac:dyDescent="0.25">
      <c r="A38" s="34"/>
      <c r="B38" s="4" t="s">
        <v>168</v>
      </c>
      <c r="C38" s="2" t="str">
        <f t="shared" si="0"/>
        <v>□2179×12×4177</v>
      </c>
      <c r="D38" s="2">
        <v>2</v>
      </c>
      <c r="E38" s="3">
        <f t="shared" si="5"/>
        <v>686.43671245092003</v>
      </c>
      <c r="F38" s="3">
        <f t="shared" si="1"/>
        <v>1372.8734249018401</v>
      </c>
      <c r="I38" s="1">
        <v>2179</v>
      </c>
      <c r="J38" s="1">
        <v>12</v>
      </c>
      <c r="K38" s="5">
        <v>4177</v>
      </c>
      <c r="L38" s="1">
        <v>7287013.9325999999</v>
      </c>
      <c r="M38" s="6">
        <f t="shared" si="3"/>
        <v>14.5740278652</v>
      </c>
      <c r="N38" s="5">
        <f t="shared" si="4"/>
        <v>29.148055730399999</v>
      </c>
      <c r="P38" s="5"/>
    </row>
    <row r="39" spans="1:16" x14ac:dyDescent="0.25">
      <c r="A39" s="34"/>
      <c r="B39" s="4" t="s">
        <v>196</v>
      </c>
      <c r="C39" s="2" t="str">
        <f>CONCATENATE("□",I39,"×",J39,"×",K39)</f>
        <v>□788×12×2187</v>
      </c>
      <c r="D39" s="2">
        <v>2</v>
      </c>
      <c r="E39" s="3">
        <f>IF(L39&gt;0,(L39*J39/1000000000*7850),(I39*J39*K39/1000000000*7850))</f>
        <v>133.17539953308</v>
      </c>
      <c r="F39" s="3">
        <f>D39*E39</f>
        <v>266.35079906615999</v>
      </c>
      <c r="I39" s="1">
        <v>788</v>
      </c>
      <c r="J39" s="1">
        <v>12</v>
      </c>
      <c r="K39" s="5">
        <v>2187</v>
      </c>
      <c r="L39" s="1">
        <v>1413751.5874000001</v>
      </c>
      <c r="M39" s="6">
        <f t="shared" si="3"/>
        <v>2.8275031748000004</v>
      </c>
      <c r="N39" s="5">
        <f t="shared" si="4"/>
        <v>5.6550063496000007</v>
      </c>
      <c r="P39" s="5"/>
    </row>
    <row r="40" spans="1:16" x14ac:dyDescent="0.25">
      <c r="A40" s="34"/>
      <c r="B40" s="4" t="s">
        <v>197</v>
      </c>
      <c r="C40" s="2" t="str">
        <f>CONCATENATE("□",I40,"×",J40,"×",K40)</f>
        <v>□788×12×2195</v>
      </c>
      <c r="D40" s="2">
        <v>2</v>
      </c>
      <c r="E40" s="3">
        <f>IF(L40&gt;0,(L40*J40/1000000000*7850),(I40*J40*K40/1000000000*7850))</f>
        <v>133.79307634662001</v>
      </c>
      <c r="F40" s="3">
        <f>D40*E40</f>
        <v>267.58615269324002</v>
      </c>
      <c r="I40" s="1">
        <v>788</v>
      </c>
      <c r="J40" s="1">
        <v>12</v>
      </c>
      <c r="K40" s="5">
        <v>2195</v>
      </c>
      <c r="L40" s="1">
        <v>1420308.6661</v>
      </c>
      <c r="M40" s="6">
        <f t="shared" si="3"/>
        <v>2.8406173321999999</v>
      </c>
      <c r="N40" s="5">
        <f t="shared" si="4"/>
        <v>5.6812346643999998</v>
      </c>
      <c r="P40" s="5"/>
    </row>
    <row r="41" spans="1:16" x14ac:dyDescent="0.25">
      <c r="A41" s="34"/>
      <c r="B41" s="4" t="s">
        <v>198</v>
      </c>
      <c r="C41" s="2" t="str">
        <f>CONCATENATE("□",I41,"×",J41,"×",K41)</f>
        <v>□2195×12×4666</v>
      </c>
      <c r="D41" s="2">
        <v>2</v>
      </c>
      <c r="E41" s="3">
        <f>IF(L41&gt;0,(L41*J41/1000000000*7850),(I41*J41*K41/1000000000*7850))</f>
        <v>675.37581012366002</v>
      </c>
      <c r="F41" s="3">
        <f>D41*E41</f>
        <v>1350.75162024732</v>
      </c>
      <c r="I41" s="1">
        <v>2195</v>
      </c>
      <c r="J41" s="1">
        <v>12</v>
      </c>
      <c r="K41" s="5">
        <v>4666</v>
      </c>
      <c r="L41" s="1">
        <v>7169594.5872999998</v>
      </c>
      <c r="M41" s="6">
        <f t="shared" si="3"/>
        <v>14.3391891746</v>
      </c>
      <c r="N41" s="5">
        <f t="shared" si="4"/>
        <v>28.678378349199999</v>
      </c>
      <c r="P41" s="5"/>
    </row>
    <row r="42" spans="1:16" x14ac:dyDescent="0.25">
      <c r="A42" s="34"/>
      <c r="B42" s="4" t="s">
        <v>43</v>
      </c>
      <c r="C42" s="2" t="str">
        <f t="shared" si="0"/>
        <v>□2179×28×4177</v>
      </c>
      <c r="D42" s="2">
        <v>2</v>
      </c>
      <c r="E42" s="3">
        <f t="shared" si="5"/>
        <v>1606.0032465155002</v>
      </c>
      <c r="F42" s="3">
        <f t="shared" si="1"/>
        <v>3212.0064930310004</v>
      </c>
      <c r="I42" s="1">
        <v>2179</v>
      </c>
      <c r="J42" s="1">
        <v>28</v>
      </c>
      <c r="K42" s="5">
        <v>4177</v>
      </c>
      <c r="L42" s="1">
        <v>7306657.1725000003</v>
      </c>
      <c r="M42" s="6">
        <f t="shared" si="3"/>
        <v>14.613314345000001</v>
      </c>
      <c r="N42" s="5">
        <f t="shared" si="4"/>
        <v>29.226628690000002</v>
      </c>
      <c r="P42" s="5"/>
    </row>
    <row r="43" spans="1:16" x14ac:dyDescent="0.25">
      <c r="A43" s="34"/>
      <c r="B43" s="4" t="s">
        <v>199</v>
      </c>
      <c r="C43" s="2" t="str">
        <f t="shared" ref="C43:C45" si="12">CONCATENATE("□",I43,"×",J43,"×",K43)</f>
        <v>□819×40×2187</v>
      </c>
      <c r="D43" s="2">
        <v>2</v>
      </c>
      <c r="E43" s="3">
        <f t="shared" ref="E43:E45" si="13">IF(L43&gt;0,(L43*J43/1000000000*7850),(I43*J43*K43/1000000000*7850))</f>
        <v>465.32315691659994</v>
      </c>
      <c r="F43" s="3">
        <f t="shared" ref="F43:F45" si="14">D43*E43</f>
        <v>930.64631383319988</v>
      </c>
      <c r="I43" s="1">
        <v>819</v>
      </c>
      <c r="J43" s="1">
        <v>40</v>
      </c>
      <c r="K43" s="5">
        <v>2187</v>
      </c>
      <c r="L43" s="1">
        <v>1481920.8818999999</v>
      </c>
      <c r="M43" s="6">
        <f t="shared" si="3"/>
        <v>2.9638417637999996</v>
      </c>
      <c r="N43" s="5">
        <f t="shared" si="4"/>
        <v>5.9276835275999993</v>
      </c>
      <c r="P43" s="5"/>
    </row>
    <row r="44" spans="1:16" x14ac:dyDescent="0.25">
      <c r="A44" s="34"/>
      <c r="B44" s="4" t="s">
        <v>200</v>
      </c>
      <c r="C44" s="2" t="str">
        <f t="shared" si="12"/>
        <v>□819×40×2195</v>
      </c>
      <c r="D44" s="2">
        <v>2</v>
      </c>
      <c r="E44" s="3">
        <f t="shared" si="13"/>
        <v>467.51539740300001</v>
      </c>
      <c r="F44" s="3">
        <f t="shared" si="14"/>
        <v>935.03079480600002</v>
      </c>
      <c r="I44" s="1">
        <v>819</v>
      </c>
      <c r="J44" s="1">
        <v>40</v>
      </c>
      <c r="K44" s="5">
        <v>2195</v>
      </c>
      <c r="L44" s="1">
        <v>1488902.5395</v>
      </c>
      <c r="M44" s="6">
        <f t="shared" si="3"/>
        <v>2.9778050789999999</v>
      </c>
      <c r="N44" s="5">
        <f t="shared" si="4"/>
        <v>5.9556101579999998</v>
      </c>
      <c r="P44" s="5"/>
    </row>
    <row r="45" spans="1:16" x14ac:dyDescent="0.25">
      <c r="A45" s="34"/>
      <c r="B45" s="4" t="s">
        <v>201</v>
      </c>
      <c r="C45" s="2" t="str">
        <f t="shared" si="12"/>
        <v>□2196×28×5213</v>
      </c>
      <c r="D45" s="2">
        <v>2</v>
      </c>
      <c r="E45" s="3">
        <f t="shared" si="13"/>
        <v>1843.4331237869401</v>
      </c>
      <c r="F45" s="3">
        <f t="shared" si="14"/>
        <v>3686.8662475738802</v>
      </c>
      <c r="I45" s="1">
        <v>2196</v>
      </c>
      <c r="J45" s="1">
        <v>28</v>
      </c>
      <c r="K45" s="5">
        <v>5213</v>
      </c>
      <c r="L45" s="1">
        <v>8386865.8953</v>
      </c>
      <c r="M45" s="6">
        <f t="shared" si="3"/>
        <v>16.773731790599999</v>
      </c>
      <c r="N45" s="5">
        <f t="shared" si="4"/>
        <v>33.547463581199999</v>
      </c>
      <c r="P45" s="5"/>
    </row>
    <row r="46" spans="1:16" x14ac:dyDescent="0.25">
      <c r="A46" s="34"/>
      <c r="B46" s="4" t="s">
        <v>161</v>
      </c>
      <c r="C46" s="2" t="str">
        <f t="shared" si="0"/>
        <v>□2183×28×3873</v>
      </c>
      <c r="D46" s="2">
        <v>2</v>
      </c>
      <c r="E46" s="3">
        <f t="shared" si="5"/>
        <v>1460.2579978982801</v>
      </c>
      <c r="F46" s="3">
        <f t="shared" si="1"/>
        <v>2920.5159957965602</v>
      </c>
      <c r="I46" s="1">
        <v>2183</v>
      </c>
      <c r="J46" s="1">
        <v>28</v>
      </c>
      <c r="K46" s="5">
        <v>3873</v>
      </c>
      <c r="L46" s="1">
        <v>6643575.9686000003</v>
      </c>
      <c r="M46" s="6">
        <f t="shared" si="3"/>
        <v>13.287151937200001</v>
      </c>
      <c r="N46" s="5">
        <f t="shared" si="4"/>
        <v>26.574303874400002</v>
      </c>
      <c r="P46" s="5"/>
    </row>
    <row r="47" spans="1:16" x14ac:dyDescent="0.25">
      <c r="A47" s="34"/>
      <c r="B47" s="4" t="s">
        <v>165</v>
      </c>
      <c r="C47" s="2" t="str">
        <f t="shared" si="0"/>
        <v>□1086×40×2187</v>
      </c>
      <c r="D47" s="2">
        <v>2</v>
      </c>
      <c r="E47" s="3">
        <f t="shared" si="5"/>
        <v>647.70522853860007</v>
      </c>
      <c r="F47" s="3">
        <f t="shared" si="1"/>
        <v>1295.4104570772001</v>
      </c>
      <c r="I47" s="1">
        <v>1086</v>
      </c>
      <c r="J47" s="1">
        <v>40</v>
      </c>
      <c r="K47" s="5">
        <v>2187</v>
      </c>
      <c r="L47" s="1">
        <v>2062755.5049000001</v>
      </c>
      <c r="M47" s="6">
        <f t="shared" si="3"/>
        <v>4.1255110098000003</v>
      </c>
      <c r="N47" s="5">
        <f t="shared" si="4"/>
        <v>8.2510220196000006</v>
      </c>
      <c r="P47" s="5"/>
    </row>
    <row r="48" spans="1:16" x14ac:dyDescent="0.25">
      <c r="A48" s="34"/>
      <c r="B48" s="4" t="s">
        <v>181</v>
      </c>
      <c r="C48" s="2" t="str">
        <f t="shared" si="0"/>
        <v>□998×40×2197</v>
      </c>
      <c r="D48" s="2">
        <v>2</v>
      </c>
      <c r="E48" s="3">
        <f t="shared" si="5"/>
        <v>590.9510001758</v>
      </c>
      <c r="F48" s="3">
        <f t="shared" si="1"/>
        <v>1181.9020003516</v>
      </c>
      <c r="I48" s="1">
        <v>998</v>
      </c>
      <c r="J48" s="1">
        <v>40</v>
      </c>
      <c r="K48" s="5">
        <v>2197</v>
      </c>
      <c r="L48" s="1">
        <v>1882009.5547</v>
      </c>
      <c r="M48" s="6">
        <f t="shared" si="3"/>
        <v>3.7640191094</v>
      </c>
      <c r="N48" s="5">
        <f t="shared" si="4"/>
        <v>7.5280382187999999</v>
      </c>
      <c r="P48" s="5"/>
    </row>
    <row r="49" spans="1:16" x14ac:dyDescent="0.25">
      <c r="A49" s="34"/>
      <c r="B49" s="4" t="s">
        <v>202</v>
      </c>
      <c r="C49" s="2" t="str">
        <f t="shared" ref="C49" si="15">CONCATENATE("□",I49,"×",J49,"×",K49)</f>
        <v>□2197×28×5008</v>
      </c>
      <c r="D49" s="2">
        <v>2</v>
      </c>
      <c r="E49" s="3">
        <f t="shared" ref="E49" si="16">IF(L49&gt;0,(L49*J49/1000000000*7850),(I49*J49*K49/1000000000*7850))</f>
        <v>1886.7760232858602</v>
      </c>
      <c r="F49" s="3">
        <f t="shared" ref="F49" si="17">D49*E49</f>
        <v>3773.5520465717204</v>
      </c>
      <c r="I49" s="1">
        <v>2197</v>
      </c>
      <c r="J49" s="1">
        <v>28</v>
      </c>
      <c r="K49" s="5">
        <v>5008</v>
      </c>
      <c r="L49" s="1">
        <v>8584058.3407000005</v>
      </c>
      <c r="M49" s="6">
        <f t="shared" si="3"/>
        <v>17.168116681400001</v>
      </c>
      <c r="N49" s="5">
        <f t="shared" si="4"/>
        <v>34.336233362800002</v>
      </c>
      <c r="P49" s="5"/>
    </row>
    <row r="50" spans="1:16" x14ac:dyDescent="0.25">
      <c r="A50" s="34"/>
      <c r="B50" s="4" t="s">
        <v>166</v>
      </c>
      <c r="C50" s="2" t="str">
        <f t="shared" si="0"/>
        <v>□2183×28×3916</v>
      </c>
      <c r="D50" s="2">
        <v>2</v>
      </c>
      <c r="E50" s="3">
        <f t="shared" si="5"/>
        <v>1480.6477438432401</v>
      </c>
      <c r="F50" s="3">
        <f t="shared" si="1"/>
        <v>2961.2954876864801</v>
      </c>
      <c r="I50" s="1">
        <v>2183</v>
      </c>
      <c r="J50" s="1">
        <v>28</v>
      </c>
      <c r="K50" s="5">
        <v>3916</v>
      </c>
      <c r="L50" s="1">
        <v>6736340.9638</v>
      </c>
      <c r="M50" s="6">
        <f t="shared" si="3"/>
        <v>13.4726819276</v>
      </c>
      <c r="N50" s="5">
        <f t="shared" si="4"/>
        <v>26.9453638552</v>
      </c>
      <c r="P50" s="5"/>
    </row>
    <row r="51" spans="1:16" x14ac:dyDescent="0.25">
      <c r="A51" s="34"/>
      <c r="B51" s="4" t="s">
        <v>179</v>
      </c>
      <c r="C51" s="2" t="str">
        <f t="shared" si="0"/>
        <v>□1057×28×2190</v>
      </c>
      <c r="D51" s="2">
        <v>2</v>
      </c>
      <c r="E51" s="3">
        <f t="shared" si="5"/>
        <v>440.48946817680002</v>
      </c>
      <c r="F51" s="3">
        <f t="shared" si="1"/>
        <v>880.97893635360003</v>
      </c>
      <c r="I51" s="1">
        <v>1057</v>
      </c>
      <c r="J51" s="1">
        <v>28</v>
      </c>
      <c r="K51" s="5">
        <v>2190</v>
      </c>
      <c r="L51" s="1">
        <v>2004046.716</v>
      </c>
      <c r="M51" s="6">
        <f t="shared" si="3"/>
        <v>4.0080934319999999</v>
      </c>
      <c r="N51" s="5">
        <f t="shared" si="4"/>
        <v>8.0161868639999998</v>
      </c>
      <c r="P51" s="5"/>
    </row>
    <row r="52" spans="1:16" x14ac:dyDescent="0.25">
      <c r="A52" s="34"/>
      <c r="B52" s="4" t="s">
        <v>203</v>
      </c>
      <c r="C52" s="2" t="str">
        <f t="shared" ref="C52:C53" si="18">CONCATENATE("□",I52,"×",J52,"×",K52)</f>
        <v>□1195×28×2197</v>
      </c>
      <c r="D52" s="2">
        <v>2</v>
      </c>
      <c r="E52" s="3">
        <f t="shared" ref="E52:E53" si="19">IF(L52&gt;0,(L52*J52/1000000000*7850),(I52*J52*K52/1000000000*7850))</f>
        <v>508.96930157639997</v>
      </c>
      <c r="F52" s="3">
        <f t="shared" ref="F52:F53" si="20">D52*E52</f>
        <v>1017.9386031527999</v>
      </c>
      <c r="I52" s="1">
        <v>1195</v>
      </c>
      <c r="J52" s="1">
        <v>28</v>
      </c>
      <c r="K52" s="5">
        <v>2197</v>
      </c>
      <c r="L52" s="1">
        <v>2315601.9180000001</v>
      </c>
      <c r="M52" s="6">
        <f t="shared" si="3"/>
        <v>4.6312038360000001</v>
      </c>
      <c r="N52" s="5">
        <f t="shared" si="4"/>
        <v>9.2624076720000001</v>
      </c>
      <c r="P52" s="5"/>
    </row>
    <row r="53" spans="1:16" x14ac:dyDescent="0.25">
      <c r="A53" s="34"/>
      <c r="B53" s="4" t="s">
        <v>204</v>
      </c>
      <c r="C53" s="2" t="str">
        <f t="shared" si="18"/>
        <v>□2199×28×4814</v>
      </c>
      <c r="D53" s="2">
        <v>2</v>
      </c>
      <c r="E53" s="3">
        <f t="shared" si="19"/>
        <v>1654.89844545662</v>
      </c>
      <c r="F53" s="3">
        <f t="shared" si="20"/>
        <v>3309.7968909132401</v>
      </c>
      <c r="I53" s="1">
        <v>2199</v>
      </c>
      <c r="J53" s="1">
        <v>28</v>
      </c>
      <c r="K53" s="5">
        <v>4814</v>
      </c>
      <c r="L53" s="1">
        <v>7529110.3069000002</v>
      </c>
      <c r="M53" s="6">
        <f t="shared" si="3"/>
        <v>15.0582206138</v>
      </c>
      <c r="N53" s="5">
        <f t="shared" si="4"/>
        <v>30.116441227599999</v>
      </c>
      <c r="P53" s="5"/>
    </row>
    <row r="54" spans="1:16" x14ac:dyDescent="0.25">
      <c r="A54" s="34"/>
      <c r="B54" s="4" t="s">
        <v>163</v>
      </c>
      <c r="C54" s="2" t="str">
        <f t="shared" si="0"/>
        <v>□2179×28×4177</v>
      </c>
      <c r="D54" s="2">
        <v>2</v>
      </c>
      <c r="E54" s="3">
        <f t="shared" si="5"/>
        <v>1606.0041927105401</v>
      </c>
      <c r="F54" s="3">
        <f t="shared" si="1"/>
        <v>3212.0083854210802</v>
      </c>
      <c r="I54" s="1">
        <v>2179</v>
      </c>
      <c r="J54" s="1">
        <v>28</v>
      </c>
      <c r="K54" s="5">
        <v>4177</v>
      </c>
      <c r="L54" s="1">
        <v>7306661.4773000004</v>
      </c>
      <c r="M54" s="6">
        <f t="shared" si="3"/>
        <v>14.613322954600001</v>
      </c>
      <c r="N54" s="5">
        <f t="shared" si="4"/>
        <v>29.226645909200002</v>
      </c>
      <c r="P54" s="5"/>
    </row>
    <row r="55" spans="1:16" x14ac:dyDescent="0.25">
      <c r="A55" s="34"/>
      <c r="B55" s="4" t="s">
        <v>180</v>
      </c>
      <c r="C55" s="2" t="str">
        <f t="shared" si="0"/>
        <v>□819×40×2187</v>
      </c>
      <c r="D55" s="2">
        <v>2</v>
      </c>
      <c r="E55" s="3">
        <f t="shared" si="5"/>
        <v>541.92555550419991</v>
      </c>
      <c r="F55" s="3">
        <f t="shared" si="1"/>
        <v>1083.8511110083998</v>
      </c>
      <c r="I55" s="1">
        <v>819</v>
      </c>
      <c r="J55" s="1">
        <v>40</v>
      </c>
      <c r="K55" s="5">
        <v>2187</v>
      </c>
      <c r="L55" s="1">
        <v>1725877.5652999999</v>
      </c>
      <c r="M55" s="6">
        <f t="shared" si="3"/>
        <v>3.4517551305999996</v>
      </c>
      <c r="N55" s="5">
        <f t="shared" si="4"/>
        <v>6.9035102611999992</v>
      </c>
      <c r="P55" s="5"/>
    </row>
    <row r="56" spans="1:16" x14ac:dyDescent="0.25">
      <c r="A56" s="34"/>
      <c r="B56" s="4" t="s">
        <v>205</v>
      </c>
      <c r="C56" s="2" t="str">
        <f t="shared" ref="C56:C57" si="21">CONCATENATE("□",I56,"×",J56,"×",K56)</f>
        <v>□819×40×2196</v>
      </c>
      <c r="D56" s="2">
        <v>2</v>
      </c>
      <c r="E56" s="3">
        <f t="shared" ref="E56:E57" si="22">IF(L56&gt;0,(L56*J56/1000000000*7850),(I56*J56*K56/1000000000*7850))</f>
        <v>544.11993401660004</v>
      </c>
      <c r="F56" s="3">
        <f t="shared" ref="F56:F57" si="23">D56*E56</f>
        <v>1088.2398680332001</v>
      </c>
      <c r="I56" s="1">
        <v>819</v>
      </c>
      <c r="J56" s="1">
        <v>40</v>
      </c>
      <c r="K56" s="5">
        <v>2196</v>
      </c>
      <c r="L56" s="1">
        <v>1732866.0319000001</v>
      </c>
      <c r="M56" s="6">
        <f t="shared" si="3"/>
        <v>3.4657320638</v>
      </c>
      <c r="N56" s="5">
        <f t="shared" si="4"/>
        <v>6.9314641276</v>
      </c>
      <c r="P56" s="5"/>
    </row>
    <row r="57" spans="1:16" x14ac:dyDescent="0.25">
      <c r="A57" s="34"/>
      <c r="B57" s="4" t="s">
        <v>206</v>
      </c>
      <c r="C57" s="2" t="str">
        <f t="shared" si="21"/>
        <v>□2196×28×5213</v>
      </c>
      <c r="D57" s="2">
        <v>2</v>
      </c>
      <c r="E57" s="3">
        <f t="shared" si="22"/>
        <v>1843.4331237869401</v>
      </c>
      <c r="F57" s="3">
        <f t="shared" si="23"/>
        <v>3686.8662475738802</v>
      </c>
      <c r="I57" s="1">
        <v>2196</v>
      </c>
      <c r="J57" s="1">
        <v>28</v>
      </c>
      <c r="K57" s="5">
        <v>5213</v>
      </c>
      <c r="L57" s="1">
        <v>8386865.8953</v>
      </c>
      <c r="M57" s="6">
        <f t="shared" si="3"/>
        <v>16.773731790599999</v>
      </c>
      <c r="N57" s="5">
        <f t="shared" si="4"/>
        <v>33.547463581199999</v>
      </c>
      <c r="P57" s="5"/>
    </row>
    <row r="58" spans="1:16" x14ac:dyDescent="0.25">
      <c r="A58" s="34"/>
      <c r="B58" s="4" t="s">
        <v>164</v>
      </c>
      <c r="C58" s="2" t="str">
        <f t="shared" si="0"/>
        <v>□2384×24×41192</v>
      </c>
      <c r="D58" s="2">
        <v>2</v>
      </c>
      <c r="E58" s="3">
        <f t="shared" si="5"/>
        <v>16648.557457722476</v>
      </c>
      <c r="F58" s="3">
        <f t="shared" si="1"/>
        <v>33297.114915444952</v>
      </c>
      <c r="I58" s="1">
        <v>2384</v>
      </c>
      <c r="J58" s="1">
        <v>24</v>
      </c>
      <c r="K58" s="5">
        <f>20596*2</f>
        <v>41192</v>
      </c>
      <c r="L58" s="1">
        <f>44184069.6861*2</f>
        <v>88368139.372199997</v>
      </c>
      <c r="M58" s="6">
        <f t="shared" si="3"/>
        <v>176.73627874439998</v>
      </c>
      <c r="N58" s="5">
        <f t="shared" si="4"/>
        <v>353.47255748879996</v>
      </c>
      <c r="P58" s="5"/>
    </row>
    <row r="59" spans="1:16" x14ac:dyDescent="0.25">
      <c r="A59" s="34"/>
      <c r="B59" s="4" t="s">
        <v>171</v>
      </c>
      <c r="C59" s="15" t="str">
        <f>CONCATENATE("□",I59,"×",J59,"×",K59,"(平均)")</f>
        <v>□873×12×3013(平均)</v>
      </c>
      <c r="D59" s="2">
        <v>16</v>
      </c>
      <c r="E59" s="16">
        <f t="shared" si="5"/>
        <v>111.98767752869999</v>
      </c>
      <c r="F59" s="3">
        <f t="shared" si="1"/>
        <v>1791.8028404591998</v>
      </c>
      <c r="I59" s="1">
        <v>873</v>
      </c>
      <c r="J59" s="1">
        <v>12</v>
      </c>
      <c r="K59" s="5">
        <v>3013</v>
      </c>
      <c r="L59" s="1">
        <f>(1142299.5368+1235358.1602)/2</f>
        <v>1188828.8484999998</v>
      </c>
      <c r="M59" s="6">
        <f t="shared" si="3"/>
        <v>2.3776576969999996</v>
      </c>
      <c r="N59" s="5">
        <f t="shared" si="4"/>
        <v>38.042523151999994</v>
      </c>
      <c r="P59" s="5"/>
    </row>
    <row r="60" spans="1:16" x14ac:dyDescent="0.25">
      <c r="A60" s="34"/>
      <c r="B60" s="4" t="s">
        <v>207</v>
      </c>
      <c r="C60" s="2" t="str">
        <f t="shared" si="0"/>
        <v>□2384×12×19864</v>
      </c>
      <c r="D60" s="2">
        <v>3</v>
      </c>
      <c r="E60" s="3">
        <f t="shared" si="5"/>
        <v>4011.95675345376</v>
      </c>
      <c r="F60" s="3">
        <f t="shared" si="1"/>
        <v>12035.87026036128</v>
      </c>
      <c r="I60" s="1">
        <v>2384</v>
      </c>
      <c r="J60" s="1">
        <v>12</v>
      </c>
      <c r="K60" s="5">
        <v>19864</v>
      </c>
      <c r="L60" s="1">
        <f>21294887.2264*2</f>
        <v>42589774.452799998</v>
      </c>
      <c r="M60" s="6">
        <f t="shared" si="3"/>
        <v>85.179548905600001</v>
      </c>
      <c r="N60" s="5">
        <f t="shared" si="4"/>
        <v>255.5386467168</v>
      </c>
      <c r="P60" s="5"/>
    </row>
    <row r="61" spans="1:16" x14ac:dyDescent="0.25">
      <c r="A61" s="34"/>
      <c r="B61" s="4" t="s">
        <v>208</v>
      </c>
      <c r="C61" s="2" t="str">
        <f t="shared" ref="C61" si="24">CONCATENATE("□",I61,"×",J61,"×",K61)</f>
        <v>□2384×12×19864</v>
      </c>
      <c r="D61" s="2">
        <v>3</v>
      </c>
      <c r="E61" s="3">
        <f t="shared" ref="E61" si="25">IF(L61&gt;0,(L61*J61/1000000000*7850),(I61*J61*K61/1000000000*7850))</f>
        <v>3950.8958326192796</v>
      </c>
      <c r="F61" s="3">
        <f t="shared" ref="F61" si="26">D61*E61</f>
        <v>11852.687497857838</v>
      </c>
      <c r="I61" s="1">
        <v>2384</v>
      </c>
      <c r="J61" s="1">
        <v>12</v>
      </c>
      <c r="K61" s="5">
        <v>19864</v>
      </c>
      <c r="L61" s="1">
        <f>20970784.6742*2</f>
        <v>41941569.348399997</v>
      </c>
      <c r="M61" s="6">
        <f t="shared" si="3"/>
        <v>83.883138696799989</v>
      </c>
      <c r="N61" s="5">
        <f t="shared" si="4"/>
        <v>251.64941609039997</v>
      </c>
      <c r="P61" s="5"/>
    </row>
    <row r="62" spans="1:16" x14ac:dyDescent="0.25">
      <c r="A62" s="34"/>
      <c r="B62" s="4" t="s">
        <v>209</v>
      </c>
      <c r="C62" s="2" t="str">
        <f t="shared" ref="C62" si="27">CONCATENATE("□",I62,"×",J62,"×",K62)</f>
        <v>□2384×24×19864</v>
      </c>
      <c r="D62" s="2">
        <v>1</v>
      </c>
      <c r="E62" s="3">
        <f t="shared" ref="E62" si="28">IF(L62&gt;0,(L62*J62/1000000000*7850),(I62*J62*K62/1000000000*7850))</f>
        <v>8024.2285079018393</v>
      </c>
      <c r="F62" s="3">
        <f t="shared" ref="F62" si="29">D62*E62</f>
        <v>8024.2285079018393</v>
      </c>
      <c r="I62" s="1">
        <v>2384</v>
      </c>
      <c r="J62" s="1">
        <v>24</v>
      </c>
      <c r="K62" s="5">
        <v>19864</v>
      </c>
      <c r="L62" s="1">
        <f>21295723.2163*2</f>
        <v>42591446.432599999</v>
      </c>
      <c r="M62" s="6">
        <f t="shared" si="3"/>
        <v>85.182892865200003</v>
      </c>
      <c r="N62" s="5">
        <f t="shared" si="4"/>
        <v>85.182892865200003</v>
      </c>
      <c r="P62" s="5"/>
    </row>
    <row r="63" spans="1:16" ht="14.25" customHeight="1" x14ac:dyDescent="0.25">
      <c r="A63" s="41" t="s">
        <v>172</v>
      </c>
      <c r="B63" s="4" t="s">
        <v>20</v>
      </c>
      <c r="C63" s="2" t="str">
        <f t="shared" ref="C63:C67" si="30">CONCATENATE("□",I63,"×",J63,"×",K63)</f>
        <v>□140×12×19180</v>
      </c>
      <c r="D63" s="2">
        <v>6</v>
      </c>
      <c r="E63" s="3">
        <f t="shared" si="5"/>
        <v>252.94583999999998</v>
      </c>
      <c r="F63" s="3">
        <f t="shared" si="1"/>
        <v>1517.6750399999999</v>
      </c>
      <c r="I63" s="1">
        <v>140</v>
      </c>
      <c r="J63" s="1">
        <v>12</v>
      </c>
      <c r="K63" s="1">
        <f>9590*2</f>
        <v>19180</v>
      </c>
      <c r="M63" s="6">
        <f t="shared" si="3"/>
        <v>5.3704000000000001</v>
      </c>
      <c r="N63" s="5">
        <f t="shared" si="4"/>
        <v>32.2224</v>
      </c>
    </row>
    <row r="64" spans="1:16" x14ac:dyDescent="0.25">
      <c r="A64" s="42"/>
      <c r="B64" s="4" t="s">
        <v>21</v>
      </c>
      <c r="C64" s="15" t="str">
        <f>CONCATENATE("□",I64,"×",J64,"×",K64,"(平均)")</f>
        <v>□180×12×1830(平均)</v>
      </c>
      <c r="D64" s="2">
        <v>60</v>
      </c>
      <c r="E64" s="16">
        <f t="shared" si="5"/>
        <v>31.029480000000003</v>
      </c>
      <c r="F64" s="3">
        <f t="shared" si="1"/>
        <v>1861.7688000000003</v>
      </c>
      <c r="I64" s="1">
        <v>180</v>
      </c>
      <c r="J64" s="1">
        <v>12</v>
      </c>
      <c r="K64" s="1">
        <v>1830</v>
      </c>
      <c r="M64" s="6">
        <f t="shared" si="3"/>
        <v>0.65880000000000005</v>
      </c>
      <c r="N64" s="5">
        <f t="shared" si="4"/>
        <v>39.528000000000006</v>
      </c>
    </row>
    <row r="65" spans="1:14" x14ac:dyDescent="0.25">
      <c r="A65" s="42"/>
      <c r="B65" s="4" t="s">
        <v>22</v>
      </c>
      <c r="C65" s="15" t="str">
        <f>CONCATENATE("□",I65,"×",J65,"×",K65,"(平均)")</f>
        <v>□100×10×19440(平均)</v>
      </c>
      <c r="D65" s="2">
        <v>6</v>
      </c>
      <c r="E65" s="16">
        <f t="shared" si="5"/>
        <v>152.60399999999998</v>
      </c>
      <c r="F65" s="3">
        <f t="shared" si="1"/>
        <v>915.62399999999991</v>
      </c>
      <c r="I65" s="1">
        <v>100</v>
      </c>
      <c r="J65" s="1">
        <v>10</v>
      </c>
      <c r="K65" s="1">
        <f>9589+9851</f>
        <v>19440</v>
      </c>
      <c r="M65" s="6">
        <f t="shared" si="3"/>
        <v>3.8879999999999999</v>
      </c>
      <c r="N65" s="5">
        <f t="shared" si="4"/>
        <v>23.327999999999999</v>
      </c>
    </row>
    <row r="66" spans="1:14" x14ac:dyDescent="0.25">
      <c r="A66" s="42"/>
      <c r="B66" s="4" t="s">
        <v>210</v>
      </c>
      <c r="C66" s="15" t="str">
        <f>CONCATENATE("□",I66,"×",J66,"×",K66,"(平均)")</f>
        <v>□100×10×9120(平均)</v>
      </c>
      <c r="D66" s="2">
        <v>12</v>
      </c>
      <c r="E66" s="16">
        <f t="shared" ref="E66" si="31">IF(L66&gt;0,(L66*J66/1000000000*7850),(I66*J66*K66/1000000000*7850))</f>
        <v>71.591999999999999</v>
      </c>
      <c r="F66" s="3">
        <f t="shared" ref="F66" si="32">D66*E66</f>
        <v>859.10400000000004</v>
      </c>
      <c r="I66" s="1">
        <v>100</v>
      </c>
      <c r="J66" s="1">
        <v>10</v>
      </c>
      <c r="K66" s="1">
        <f>(9076+9164)/2</f>
        <v>9120</v>
      </c>
      <c r="M66" s="6">
        <f t="shared" si="3"/>
        <v>1.8240000000000001</v>
      </c>
      <c r="N66" s="5">
        <f t="shared" si="4"/>
        <v>21.888000000000002</v>
      </c>
    </row>
    <row r="67" spans="1:14" x14ac:dyDescent="0.25">
      <c r="A67" s="42"/>
      <c r="B67" s="4" t="s">
        <v>35</v>
      </c>
      <c r="C67" s="2" t="str">
        <f t="shared" si="30"/>
        <v>□100×10×1340</v>
      </c>
      <c r="D67" s="2">
        <v>6</v>
      </c>
      <c r="E67" s="3">
        <f t="shared" si="5"/>
        <v>10.519</v>
      </c>
      <c r="F67" s="3">
        <f t="shared" si="1"/>
        <v>63.114000000000004</v>
      </c>
      <c r="I67" s="1">
        <v>100</v>
      </c>
      <c r="J67" s="1">
        <v>10</v>
      </c>
      <c r="K67" s="1">
        <v>1340</v>
      </c>
      <c r="M67" s="6">
        <f t="shared" si="3"/>
        <v>0.26800000000000002</v>
      </c>
      <c r="N67" s="5">
        <f t="shared" si="4"/>
        <v>1.6080000000000001</v>
      </c>
    </row>
    <row r="68" spans="1:14" x14ac:dyDescent="0.25">
      <c r="A68" s="42"/>
      <c r="B68" s="4" t="s">
        <v>36</v>
      </c>
      <c r="C68" s="15" t="str">
        <f>CONCATENATE("□",I68,"×",J68,"×",K68,"(平均)")</f>
        <v>□140×12×19440(平均)</v>
      </c>
      <c r="D68" s="2">
        <v>8</v>
      </c>
      <c r="E68" s="16">
        <f t="shared" si="5"/>
        <v>256.37471999999997</v>
      </c>
      <c r="F68" s="3">
        <f t="shared" si="1"/>
        <v>2050.9977599999997</v>
      </c>
      <c r="I68" s="1">
        <v>140</v>
      </c>
      <c r="J68" s="1">
        <v>12</v>
      </c>
      <c r="K68" s="1">
        <f>9589+9851</f>
        <v>19440</v>
      </c>
      <c r="M68" s="6">
        <f t="shared" si="3"/>
        <v>5.4432</v>
      </c>
      <c r="N68" s="5">
        <f t="shared" si="4"/>
        <v>43.5456</v>
      </c>
    </row>
    <row r="69" spans="1:14" x14ac:dyDescent="0.25">
      <c r="A69" s="42"/>
      <c r="B69" s="4" t="s">
        <v>48</v>
      </c>
      <c r="C69" s="15" t="str">
        <f>CONCATENATE("□",I69,"×",J69,"×",K69,"(平均)")</f>
        <v>□100×10×1571(平均)</v>
      </c>
      <c r="D69" s="2">
        <f>(7+7+7+7+6+6+7)*2</f>
        <v>94</v>
      </c>
      <c r="E69" s="16">
        <f t="shared" ref="E69" si="33">IF(L69&gt;0,(L69*J69/1000000000*7850),(I69*J69*K69/1000000000*7850))</f>
        <v>12.33235</v>
      </c>
      <c r="F69" s="3">
        <f t="shared" si="1"/>
        <v>1159.2409</v>
      </c>
      <c r="I69" s="1">
        <v>100</v>
      </c>
      <c r="J69" s="1">
        <v>10</v>
      </c>
      <c r="K69" s="1">
        <f>(1833+1309)/2</f>
        <v>1571</v>
      </c>
      <c r="M69" s="6">
        <f t="shared" ref="M69:M89" si="34">IF(L69&gt;0,(L69*2/1000000),(I69*K69*2/1000000))</f>
        <v>0.31419999999999998</v>
      </c>
      <c r="N69" s="5">
        <f t="shared" ref="N69:N89" si="35">D69*M69</f>
        <v>29.534799999999997</v>
      </c>
    </row>
    <row r="70" spans="1:14" x14ac:dyDescent="0.25">
      <c r="A70" s="42"/>
      <c r="B70" s="4" t="s">
        <v>38</v>
      </c>
      <c r="C70" s="15" t="str">
        <f t="shared" ref="C70" si="36">CONCATENATE("□",I70,"×",J70,"×",K70,"(平均)")</f>
        <v>□100×10×3054(平均)</v>
      </c>
      <c r="D70" s="2">
        <f>(4*7)*2</f>
        <v>56</v>
      </c>
      <c r="E70" s="3">
        <f t="shared" si="5"/>
        <v>23.9739</v>
      </c>
      <c r="F70" s="3">
        <f t="shared" si="1"/>
        <v>1342.5383999999999</v>
      </c>
      <c r="I70" s="1">
        <v>100</v>
      </c>
      <c r="J70" s="1">
        <v>10</v>
      </c>
      <c r="K70" s="1">
        <f>(2042+4066)/2</f>
        <v>3054</v>
      </c>
      <c r="M70" s="6">
        <f t="shared" si="34"/>
        <v>0.61080000000000001</v>
      </c>
      <c r="N70" s="5">
        <f t="shared" si="35"/>
        <v>34.204799999999999</v>
      </c>
    </row>
    <row r="71" spans="1:14" x14ac:dyDescent="0.25">
      <c r="A71" s="42"/>
      <c r="B71" s="4" t="s">
        <v>39</v>
      </c>
      <c r="C71" s="2" t="str">
        <f t="shared" ref="C71:C77" si="37">CONCATENATE("□",I71,"×",J71,"×",K71)</f>
        <v>□134×12×300</v>
      </c>
      <c r="D71" s="2">
        <f>7*2*2</f>
        <v>28</v>
      </c>
      <c r="E71" s="3">
        <f t="shared" si="5"/>
        <v>3.7868400000000002</v>
      </c>
      <c r="F71" s="3">
        <f t="shared" si="1"/>
        <v>106.03152</v>
      </c>
      <c r="I71" s="1">
        <v>134</v>
      </c>
      <c r="J71" s="1">
        <v>12</v>
      </c>
      <c r="K71" s="1">
        <v>300</v>
      </c>
      <c r="M71" s="6">
        <f t="shared" si="34"/>
        <v>8.0399999999999999E-2</v>
      </c>
      <c r="N71" s="5">
        <f t="shared" si="35"/>
        <v>2.2511999999999999</v>
      </c>
    </row>
    <row r="72" spans="1:14" x14ac:dyDescent="0.25">
      <c r="A72" s="43"/>
      <c r="B72" s="4" t="s">
        <v>49</v>
      </c>
      <c r="C72" s="2" t="str">
        <f t="shared" si="37"/>
        <v>□134×12×400</v>
      </c>
      <c r="D72" s="2">
        <f>(1)*2*2</f>
        <v>4</v>
      </c>
      <c r="E72" s="3">
        <f t="shared" si="5"/>
        <v>5.0491200000000003</v>
      </c>
      <c r="F72" s="3">
        <f t="shared" si="1"/>
        <v>20.196480000000001</v>
      </c>
      <c r="I72" s="1">
        <v>134</v>
      </c>
      <c r="J72" s="1">
        <v>12</v>
      </c>
      <c r="K72" s="1">
        <v>400</v>
      </c>
      <c r="M72" s="6">
        <f t="shared" si="34"/>
        <v>0.1072</v>
      </c>
      <c r="N72" s="5">
        <f t="shared" si="35"/>
        <v>0.42880000000000001</v>
      </c>
    </row>
    <row r="73" spans="1:14" x14ac:dyDescent="0.25">
      <c r="A73" s="41" t="s">
        <v>211</v>
      </c>
      <c r="B73" s="4" t="s">
        <v>212</v>
      </c>
      <c r="C73" s="2" t="str">
        <f t="shared" si="37"/>
        <v>□110×10×3748</v>
      </c>
      <c r="D73" s="2">
        <f>(7)*2</f>
        <v>14</v>
      </c>
      <c r="E73" s="3">
        <f t="shared" si="5"/>
        <v>32.363980000000005</v>
      </c>
      <c r="F73" s="3">
        <f t="shared" si="1"/>
        <v>453.09572000000009</v>
      </c>
      <c r="I73" s="1">
        <v>110</v>
      </c>
      <c r="J73" s="1">
        <v>10</v>
      </c>
      <c r="K73" s="1">
        <v>3748</v>
      </c>
      <c r="M73" s="6">
        <f t="shared" si="34"/>
        <v>0.82455999999999996</v>
      </c>
      <c r="N73" s="5">
        <f t="shared" si="35"/>
        <v>11.543839999999999</v>
      </c>
    </row>
    <row r="74" spans="1:14" x14ac:dyDescent="0.25">
      <c r="A74" s="42"/>
      <c r="B74" s="4" t="s">
        <v>213</v>
      </c>
      <c r="C74" s="2" t="str">
        <f t="shared" si="37"/>
        <v>□110×10×2996</v>
      </c>
      <c r="D74" s="2">
        <f>3+(7+8)*2</f>
        <v>33</v>
      </c>
      <c r="E74" s="3">
        <f t="shared" si="5"/>
        <v>25.870460000000001</v>
      </c>
      <c r="F74" s="3">
        <f t="shared" si="1"/>
        <v>853.72518000000002</v>
      </c>
      <c r="I74" s="1">
        <v>110</v>
      </c>
      <c r="J74" s="1">
        <v>10</v>
      </c>
      <c r="K74" s="1">
        <v>2996</v>
      </c>
      <c r="M74" s="6">
        <f t="shared" si="34"/>
        <v>0.65912000000000004</v>
      </c>
      <c r="N74" s="5">
        <f t="shared" si="35"/>
        <v>21.750960000000003</v>
      </c>
    </row>
    <row r="75" spans="1:14" x14ac:dyDescent="0.25">
      <c r="A75" s="42"/>
      <c r="B75" s="4" t="s">
        <v>214</v>
      </c>
      <c r="C75" s="2" t="str">
        <f t="shared" si="37"/>
        <v>□110×10×1324</v>
      </c>
      <c r="D75" s="2">
        <f>(10+1)*2</f>
        <v>22</v>
      </c>
      <c r="E75" s="3">
        <f t="shared" si="5"/>
        <v>11.432740000000001</v>
      </c>
      <c r="F75" s="3">
        <f t="shared" si="1"/>
        <v>251.52028000000001</v>
      </c>
      <c r="I75" s="1">
        <v>110</v>
      </c>
      <c r="J75" s="1">
        <v>10</v>
      </c>
      <c r="K75" s="1">
        <v>1324</v>
      </c>
      <c r="M75" s="6">
        <f t="shared" si="34"/>
        <v>0.29127999999999998</v>
      </c>
      <c r="N75" s="5">
        <f t="shared" si="35"/>
        <v>6.4081599999999996</v>
      </c>
    </row>
    <row r="76" spans="1:14" x14ac:dyDescent="0.25">
      <c r="A76" s="43"/>
      <c r="B76" s="4" t="s">
        <v>287</v>
      </c>
      <c r="C76" s="2" t="str">
        <f t="shared" ref="C76" si="38">CONCATENATE("□",I76,"×",J76,"×",K76)</f>
        <v>□110×10×2462</v>
      </c>
      <c r="D76" s="2">
        <v>8</v>
      </c>
      <c r="E76" s="3">
        <f t="shared" ref="E76" si="39">IF(L76&gt;0,(L76*J76/1000000000*7850),(I76*J76*K76/1000000000*7850))</f>
        <v>21.259370000000001</v>
      </c>
      <c r="F76" s="3">
        <f t="shared" ref="F76" si="40">D76*E76</f>
        <v>170.07496</v>
      </c>
      <c r="I76" s="1">
        <v>110</v>
      </c>
      <c r="J76" s="1">
        <v>10</v>
      </c>
      <c r="K76" s="1">
        <v>2462</v>
      </c>
      <c r="M76" s="6">
        <f t="shared" si="34"/>
        <v>0.54164000000000001</v>
      </c>
      <c r="N76" s="5">
        <f t="shared" si="35"/>
        <v>4.3331200000000001</v>
      </c>
    </row>
    <row r="77" spans="1:14" x14ac:dyDescent="0.25">
      <c r="A77" s="41" t="s">
        <v>290</v>
      </c>
      <c r="B77" s="4" t="s">
        <v>215</v>
      </c>
      <c r="C77" s="2" t="str">
        <f t="shared" si="37"/>
        <v>□3400×40×4000</v>
      </c>
      <c r="D77" s="2">
        <v>2</v>
      </c>
      <c r="E77" s="3">
        <f t="shared" si="5"/>
        <v>4270.4000000000005</v>
      </c>
      <c r="F77" s="3">
        <f t="shared" si="1"/>
        <v>8540.8000000000011</v>
      </c>
      <c r="I77" s="1">
        <v>3400</v>
      </c>
      <c r="J77" s="1">
        <v>40</v>
      </c>
      <c r="K77" s="1">
        <v>4000</v>
      </c>
      <c r="M77" s="6">
        <f t="shared" si="34"/>
        <v>27.2</v>
      </c>
      <c r="N77" s="5">
        <f t="shared" si="35"/>
        <v>54.4</v>
      </c>
    </row>
    <row r="78" spans="1:14" x14ac:dyDescent="0.25">
      <c r="A78" s="42"/>
      <c r="B78" s="4" t="s">
        <v>216</v>
      </c>
      <c r="C78" s="15" t="str">
        <f>CONCATENATE("□",I78,"×",J78,"×",K78,"(平均)")</f>
        <v>□806×28×1700(平均)</v>
      </c>
      <c r="D78" s="2">
        <v>6</v>
      </c>
      <c r="E78" s="16">
        <f t="shared" ref="E78:E79" si="41">IF(L78&gt;0,(L78*J78/1000000000*7850),(I78*J78*K78/1000000000*7850))</f>
        <v>200.12413672727001</v>
      </c>
      <c r="F78" s="3">
        <f t="shared" si="1"/>
        <v>1200.74482036362</v>
      </c>
      <c r="I78" s="1">
        <v>806</v>
      </c>
      <c r="J78" s="1">
        <v>28</v>
      </c>
      <c r="K78" s="1">
        <v>1700</v>
      </c>
      <c r="L78" s="1">
        <f>(807327.8059+945637.9514)/2+20*1700</f>
        <v>910482.87865000009</v>
      </c>
      <c r="M78" s="6">
        <f t="shared" si="34"/>
        <v>1.8209657573000002</v>
      </c>
      <c r="N78" s="5">
        <f t="shared" si="35"/>
        <v>10.925794543800002</v>
      </c>
    </row>
    <row r="79" spans="1:14" x14ac:dyDescent="0.25">
      <c r="A79" s="42"/>
      <c r="B79" s="4" t="s">
        <v>217</v>
      </c>
      <c r="C79" s="15" t="str">
        <f>CONCATENATE("□",I79,"×",J79,"×",K79,"(平均)")</f>
        <v>□898×28×1700(平均)</v>
      </c>
      <c r="D79" s="2">
        <v>6</v>
      </c>
      <c r="E79" s="16">
        <f t="shared" si="41"/>
        <v>242.36236068246998</v>
      </c>
      <c r="F79" s="3">
        <f t="shared" si="1"/>
        <v>1454.1741640948198</v>
      </c>
      <c r="I79" s="1">
        <v>898</v>
      </c>
      <c r="J79" s="1">
        <v>28</v>
      </c>
      <c r="K79" s="1">
        <v>1700</v>
      </c>
      <c r="L79" s="1">
        <f>(922293.617+1215005.3883)/2+1700*20</f>
        <v>1102649.5026499999</v>
      </c>
      <c r="M79" s="6">
        <f t="shared" si="34"/>
        <v>2.2052990052999997</v>
      </c>
      <c r="N79" s="5">
        <f t="shared" si="35"/>
        <v>13.231794031799998</v>
      </c>
    </row>
    <row r="80" spans="1:14" x14ac:dyDescent="0.25">
      <c r="A80" s="42"/>
      <c r="B80" s="4" t="s">
        <v>218</v>
      </c>
      <c r="C80" s="15" t="str">
        <f>CONCATENATE("□",I80,"×",J80,"×",K80,"(平均)")</f>
        <v>□1065×28×2190(平均)</v>
      </c>
      <c r="D80" s="2">
        <v>8</v>
      </c>
      <c r="E80" s="16">
        <f t="shared" ref="E80:E81" si="42">IF(L80&gt;0,(L80*J80/1000000000*7850),(I80*J80*K80/1000000000*7850))</f>
        <v>425.86661278769998</v>
      </c>
      <c r="F80" s="3">
        <f t="shared" ref="F80:F81" si="43">D80*E80</f>
        <v>3406.9329023015998</v>
      </c>
      <c r="I80" s="1">
        <v>1065</v>
      </c>
      <c r="J80" s="1">
        <v>28</v>
      </c>
      <c r="K80" s="1">
        <v>2190</v>
      </c>
      <c r="L80" s="1">
        <f>1893718.7115+43800</f>
        <v>1937518.7115</v>
      </c>
      <c r="M80" s="6">
        <f t="shared" si="34"/>
        <v>3.8750374229999998</v>
      </c>
      <c r="N80" s="5">
        <f t="shared" si="35"/>
        <v>31.000299383999998</v>
      </c>
    </row>
    <row r="81" spans="1:14" x14ac:dyDescent="0.25">
      <c r="A81" s="42"/>
      <c r="B81" s="4" t="s">
        <v>302</v>
      </c>
      <c r="C81" s="2" t="str">
        <f t="shared" ref="C81" si="44">CONCATENATE("□",I81,"×",J81,"×",K81)</f>
        <v>□300×36×518</v>
      </c>
      <c r="D81" s="2">
        <v>4</v>
      </c>
      <c r="E81" s="3">
        <f t="shared" si="42"/>
        <v>43.916040000000002</v>
      </c>
      <c r="F81" s="3">
        <f t="shared" si="43"/>
        <v>175.66416000000001</v>
      </c>
      <c r="I81" s="1">
        <v>300</v>
      </c>
      <c r="J81" s="1">
        <v>36</v>
      </c>
      <c r="K81" s="1">
        <v>518</v>
      </c>
      <c r="M81" s="6">
        <f t="shared" ref="M81:M85" si="45">IF(L81&gt;0,(L81*2/1000000),(I81*K81*2/1000000))</f>
        <v>0.31080000000000002</v>
      </c>
      <c r="N81" s="5">
        <f t="shared" ref="N81:N85" si="46">D81*M81</f>
        <v>1.2432000000000001</v>
      </c>
    </row>
    <row r="82" spans="1:14" x14ac:dyDescent="0.25">
      <c r="A82" s="42"/>
      <c r="B82" s="4" t="s">
        <v>304</v>
      </c>
      <c r="C82" s="2" t="str">
        <f t="shared" ref="C82:C85" si="47">CONCATENATE("□",I82,"×",J82,"×",K82)</f>
        <v>□300×36×454</v>
      </c>
      <c r="D82" s="2">
        <v>4</v>
      </c>
      <c r="E82" s="3">
        <f t="shared" ref="E82:E85" si="48">IF(L82&gt;0,(L82*J82/1000000000*7850),(I82*J82*K82/1000000000*7850))</f>
        <v>38.490119999999997</v>
      </c>
      <c r="F82" s="3">
        <f t="shared" ref="F82:F85" si="49">D82*E82</f>
        <v>153.96047999999999</v>
      </c>
      <c r="I82" s="1">
        <v>300</v>
      </c>
      <c r="J82" s="1">
        <v>36</v>
      </c>
      <c r="K82" s="1">
        <v>454</v>
      </c>
      <c r="M82" s="6">
        <f t="shared" si="45"/>
        <v>0.27239999999999998</v>
      </c>
      <c r="N82" s="5">
        <f t="shared" si="46"/>
        <v>1.0895999999999999</v>
      </c>
    </row>
    <row r="83" spans="1:14" x14ac:dyDescent="0.25">
      <c r="A83" s="42"/>
      <c r="B83" s="4" t="s">
        <v>305</v>
      </c>
      <c r="C83" s="2" t="str">
        <f t="shared" si="47"/>
        <v>□400×36×1000</v>
      </c>
      <c r="D83" s="2">
        <v>2</v>
      </c>
      <c r="E83" s="3">
        <f t="shared" si="48"/>
        <v>113.03999999999999</v>
      </c>
      <c r="F83" s="3">
        <f t="shared" si="49"/>
        <v>226.07999999999998</v>
      </c>
      <c r="I83" s="1">
        <v>400</v>
      </c>
      <c r="J83" s="1">
        <v>36</v>
      </c>
      <c r="K83" s="1">
        <v>1000</v>
      </c>
      <c r="M83" s="6">
        <f t="shared" si="45"/>
        <v>0.8</v>
      </c>
      <c r="N83" s="5">
        <f t="shared" si="46"/>
        <v>1.6</v>
      </c>
    </row>
    <row r="84" spans="1:14" x14ac:dyDescent="0.25">
      <c r="A84" s="42"/>
      <c r="B84" s="4" t="s">
        <v>303</v>
      </c>
      <c r="C84" s="2" t="str">
        <f t="shared" si="47"/>
        <v>□250×36×1000</v>
      </c>
      <c r="D84" s="2">
        <v>2</v>
      </c>
      <c r="E84" s="3">
        <f t="shared" si="48"/>
        <v>70.649999999999991</v>
      </c>
      <c r="F84" s="3">
        <f t="shared" si="49"/>
        <v>141.29999999999998</v>
      </c>
      <c r="I84" s="1">
        <v>250</v>
      </c>
      <c r="J84" s="1">
        <v>36</v>
      </c>
      <c r="K84" s="1">
        <v>1000</v>
      </c>
      <c r="M84" s="6">
        <f t="shared" si="45"/>
        <v>0.5</v>
      </c>
      <c r="N84" s="5">
        <f t="shared" si="46"/>
        <v>1</v>
      </c>
    </row>
    <row r="85" spans="1:14" x14ac:dyDescent="0.25">
      <c r="A85" s="43"/>
      <c r="B85" s="4" t="s">
        <v>306</v>
      </c>
      <c r="C85" s="2" t="str">
        <f t="shared" si="47"/>
        <v>□400×28×714</v>
      </c>
      <c r="D85" s="2">
        <v>10</v>
      </c>
      <c r="E85" s="3">
        <f t="shared" si="48"/>
        <v>60.302129999999998</v>
      </c>
      <c r="F85" s="3">
        <f t="shared" si="49"/>
        <v>603.0213</v>
      </c>
      <c r="I85" s="1">
        <v>400</v>
      </c>
      <c r="J85" s="1">
        <v>28</v>
      </c>
      <c r="K85" s="1">
        <v>714</v>
      </c>
      <c r="L85" s="1">
        <v>274350</v>
      </c>
      <c r="M85" s="6">
        <f t="shared" si="45"/>
        <v>0.54869999999999997</v>
      </c>
      <c r="N85" s="5">
        <f t="shared" si="46"/>
        <v>5.4870000000000001</v>
      </c>
    </row>
    <row r="86" spans="1:14" x14ac:dyDescent="0.25">
      <c r="A86" s="37" t="s">
        <v>221</v>
      </c>
      <c r="B86" s="4" t="s">
        <v>67</v>
      </c>
      <c r="C86" s="2" t="str">
        <f>CONCATENATE("□",I86,"×",J86,"×",K86)</f>
        <v>□261×16×24500</v>
      </c>
      <c r="D86" s="2">
        <v>1</v>
      </c>
      <c r="E86" s="3">
        <f t="shared" si="5"/>
        <v>803.14919999999995</v>
      </c>
      <c r="F86" s="3">
        <f t="shared" si="1"/>
        <v>803.14919999999995</v>
      </c>
      <c r="I86" s="1">
        <v>261</v>
      </c>
      <c r="J86" s="1">
        <v>16</v>
      </c>
      <c r="K86" s="1">
        <f>12250*2</f>
        <v>24500</v>
      </c>
      <c r="M86" s="6">
        <f t="shared" si="34"/>
        <v>12.789</v>
      </c>
      <c r="N86" s="5">
        <f t="shared" si="35"/>
        <v>12.789</v>
      </c>
    </row>
    <row r="87" spans="1:14" x14ac:dyDescent="0.25">
      <c r="A87" s="38"/>
      <c r="B87" s="4" t="s">
        <v>219</v>
      </c>
      <c r="C87" s="2" t="str">
        <f>CONCATENATE("□",I87,"×",J87,"×",K87)</f>
        <v>□370×16×24500</v>
      </c>
      <c r="D87" s="2">
        <v>1</v>
      </c>
      <c r="E87" s="3">
        <f t="shared" si="5"/>
        <v>1138.5640000000001</v>
      </c>
      <c r="F87" s="3">
        <f t="shared" si="1"/>
        <v>1138.5640000000001</v>
      </c>
      <c r="I87" s="1">
        <v>370</v>
      </c>
      <c r="J87" s="1">
        <v>16</v>
      </c>
      <c r="K87" s="1">
        <f>12250*2</f>
        <v>24500</v>
      </c>
      <c r="M87" s="6">
        <f t="shared" si="34"/>
        <v>18.13</v>
      </c>
      <c r="N87" s="5">
        <f t="shared" si="35"/>
        <v>18.13</v>
      </c>
    </row>
    <row r="88" spans="1:14" x14ac:dyDescent="0.25">
      <c r="A88" s="38"/>
      <c r="B88" s="4" t="s">
        <v>220</v>
      </c>
      <c r="C88" s="2" t="str">
        <f>CONCATENATE("□",I88,"×",J88,"×",K88)</f>
        <v>□261×16×370</v>
      </c>
      <c r="D88" s="2">
        <v>2</v>
      </c>
      <c r="E88" s="3">
        <f t="shared" si="5"/>
        <v>12.129192000000002</v>
      </c>
      <c r="F88" s="3">
        <f t="shared" si="1"/>
        <v>24.258384000000003</v>
      </c>
      <c r="I88" s="1">
        <v>261</v>
      </c>
      <c r="J88" s="1">
        <v>16</v>
      </c>
      <c r="K88" s="1">
        <v>370</v>
      </c>
      <c r="M88" s="6">
        <f t="shared" si="34"/>
        <v>0.19314000000000001</v>
      </c>
      <c r="N88" s="5">
        <f t="shared" si="35"/>
        <v>0.38628000000000001</v>
      </c>
    </row>
    <row r="89" spans="1:14" x14ac:dyDescent="0.25">
      <c r="A89" s="39"/>
      <c r="B89" s="4" t="s">
        <v>286</v>
      </c>
      <c r="C89" s="2" t="str">
        <f>CONCATENATE("□",I89,"×",J89,"×",K89)</f>
        <v>□138×16×150</v>
      </c>
      <c r="D89" s="2">
        <f>17*4</f>
        <v>68</v>
      </c>
      <c r="E89" s="3">
        <f t="shared" ref="E89" si="50">IF(L89&gt;0,(L89*J89/1000000000*7850),(I89*J89*K89/1000000000*7850))</f>
        <v>1.80209463232</v>
      </c>
      <c r="F89" s="3">
        <f t="shared" ref="F89" si="51">D89*E89</f>
        <v>122.54243499776</v>
      </c>
      <c r="I89" s="1">
        <v>138</v>
      </c>
      <c r="J89" s="1">
        <v>16</v>
      </c>
      <c r="K89" s="1">
        <v>150</v>
      </c>
      <c r="L89" s="1">
        <v>14347.887199999999</v>
      </c>
      <c r="M89" s="6">
        <f t="shared" si="34"/>
        <v>2.8695774399999999E-2</v>
      </c>
      <c r="N89" s="5">
        <f t="shared" si="35"/>
        <v>1.9513126591999999</v>
      </c>
    </row>
    <row r="90" spans="1:14" x14ac:dyDescent="0.25">
      <c r="A90" s="37"/>
      <c r="B90" s="34" t="s">
        <v>23</v>
      </c>
      <c r="C90" s="34"/>
      <c r="D90" s="34"/>
      <c r="E90" s="34"/>
      <c r="F90" s="7">
        <f>SUM(F6:F89)</f>
        <v>504075.97982082004</v>
      </c>
    </row>
    <row r="91" spans="1:14" x14ac:dyDescent="0.25">
      <c r="A91" s="38"/>
      <c r="B91" s="34" t="s">
        <v>26</v>
      </c>
      <c r="C91" s="34"/>
      <c r="D91" s="34"/>
      <c r="E91" s="34"/>
      <c r="F91" s="8">
        <f>F90*0.015</f>
        <v>7561.1396973123001</v>
      </c>
    </row>
    <row r="92" spans="1:14" x14ac:dyDescent="0.25">
      <c r="A92" s="39"/>
      <c r="B92" s="34" t="s">
        <v>24</v>
      </c>
      <c r="C92" s="34"/>
      <c r="D92" s="34"/>
      <c r="E92" s="34"/>
      <c r="F92" s="7">
        <f>F90+F91</f>
        <v>511637.11951813236</v>
      </c>
    </row>
    <row r="96" spans="1:14" x14ac:dyDescent="0.25">
      <c r="N96" s="1">
        <f>58.3+131.5+3.8</f>
        <v>193.60000000000002</v>
      </c>
    </row>
    <row r="100" spans="2:4" x14ac:dyDescent="0.25">
      <c r="B100" s="34" t="s">
        <v>98</v>
      </c>
      <c r="C100" s="4" t="s">
        <v>102</v>
      </c>
      <c r="D100" s="4" t="s">
        <v>99</v>
      </c>
    </row>
    <row r="101" spans="2:4" x14ac:dyDescent="0.25">
      <c r="B101" s="34"/>
      <c r="C101" s="4" t="s">
        <v>95</v>
      </c>
      <c r="D101" s="4" t="s">
        <v>113</v>
      </c>
    </row>
    <row r="102" spans="2:4" x14ac:dyDescent="0.25">
      <c r="B102" s="34" t="s">
        <v>103</v>
      </c>
      <c r="C102" s="4" t="s">
        <v>104</v>
      </c>
      <c r="D102" s="8">
        <f>SUMIF($J$6:$J$89,"10",$F$6:$F$89)</f>
        <v>6768.8854400000009</v>
      </c>
    </row>
    <row r="103" spans="2:4" x14ac:dyDescent="0.25">
      <c r="B103" s="34"/>
      <c r="C103" s="4" t="s">
        <v>105</v>
      </c>
      <c r="D103" s="8">
        <f>SUMIF($J$6:$J$89,"12",$F$6:$F$89)</f>
        <v>74912.472572441882</v>
      </c>
    </row>
    <row r="104" spans="2:4" x14ac:dyDescent="0.25">
      <c r="B104" s="34"/>
      <c r="C104" s="4" t="s">
        <v>106</v>
      </c>
      <c r="D104" s="8">
        <f>SUMIF($J$6:$J$89,"14",$F$6:$F$89)</f>
        <v>22883.511530060583</v>
      </c>
    </row>
    <row r="105" spans="2:4" x14ac:dyDescent="0.25">
      <c r="B105" s="34"/>
      <c r="C105" s="4" t="s">
        <v>107</v>
      </c>
      <c r="D105" s="8">
        <f>SUMIF($J$6:$J$89,"16",$F$6:$F$89)</f>
        <v>139322.82728133243</v>
      </c>
    </row>
    <row r="106" spans="2:4" x14ac:dyDescent="0.25">
      <c r="B106" s="34"/>
      <c r="C106" s="4" t="s">
        <v>108</v>
      </c>
      <c r="D106" s="8">
        <f>SUMIF($J$6:$J$89,"24",$F$6:$F$89)</f>
        <v>45031.481261746791</v>
      </c>
    </row>
    <row r="107" spans="2:4" x14ac:dyDescent="0.25">
      <c r="B107" s="34"/>
      <c r="C107" s="4" t="s">
        <v>109</v>
      </c>
      <c r="D107" s="8">
        <f>SUMIF($J$6:$J$89,"28",$F$6:$F$89)</f>
        <v>35326.698520834274</v>
      </c>
    </row>
    <row r="108" spans="2:4" x14ac:dyDescent="0.25">
      <c r="B108" s="34"/>
      <c r="C108" s="4" t="s">
        <v>224</v>
      </c>
      <c r="D108" s="8">
        <f>SUMIF($J$6:$J$89,"36",$F$6:$F$89)</f>
        <v>91407.099540674884</v>
      </c>
    </row>
    <row r="109" spans="2:4" x14ac:dyDescent="0.25">
      <c r="B109" s="34"/>
      <c r="C109" s="4" t="s">
        <v>225</v>
      </c>
      <c r="D109" s="8">
        <f>SUMIF($J$6:$J$89,"40",$F$6:$F$89)</f>
        <v>87885.9911020492</v>
      </c>
    </row>
    <row r="110" spans="2:4" x14ac:dyDescent="0.25">
      <c r="B110" s="34"/>
      <c r="C110" s="4" t="s">
        <v>111</v>
      </c>
      <c r="D110" s="8">
        <f>SUMIF($J$6:$J$89,"8",$F$6:$F$89)</f>
        <v>537.01257168000006</v>
      </c>
    </row>
    <row r="111" spans="2:4" x14ac:dyDescent="0.25">
      <c r="B111" s="34"/>
      <c r="C111" s="4" t="s">
        <v>112</v>
      </c>
      <c r="D111" s="8">
        <f>SUM(D102:D110)</f>
        <v>504075.97982082004</v>
      </c>
    </row>
    <row r="112" spans="2:4" x14ac:dyDescent="0.25">
      <c r="B112" s="34"/>
      <c r="C112" s="4" t="s">
        <v>114</v>
      </c>
      <c r="D112" s="8">
        <f>D111*0.015</f>
        <v>7561.1396973123001</v>
      </c>
    </row>
    <row r="113" spans="2:4" x14ac:dyDescent="0.25">
      <c r="B113" s="34"/>
      <c r="C113" s="4" t="s">
        <v>115</v>
      </c>
      <c r="D113" s="7">
        <f>D111+D112</f>
        <v>511637.11951813236</v>
      </c>
    </row>
    <row r="114" spans="2:4" x14ac:dyDescent="0.25">
      <c r="B114" s="34" t="s">
        <v>25</v>
      </c>
      <c r="C114" s="4" t="s">
        <v>116</v>
      </c>
      <c r="D114" s="7">
        <f>SUM(N6:N89)-D115</f>
        <v>4134.3295572002171</v>
      </c>
    </row>
    <row r="115" spans="2:4" x14ac:dyDescent="0.25">
      <c r="B115" s="34"/>
      <c r="C115" s="4" t="s">
        <v>117</v>
      </c>
      <c r="D115" s="8">
        <f>(N6+N12+N17+N18)/2+(N6/2)*0.6815+N10+N31+SUM(N63:N69)</f>
        <v>2270.2088570703845</v>
      </c>
    </row>
  </sheetData>
  <mergeCells count="16">
    <mergeCell ref="M5:N5"/>
    <mergeCell ref="A6:A9"/>
    <mergeCell ref="A31:A62"/>
    <mergeCell ref="A63:A72"/>
    <mergeCell ref="B100:B101"/>
    <mergeCell ref="A77:A85"/>
    <mergeCell ref="B102:B113"/>
    <mergeCell ref="B114:B115"/>
    <mergeCell ref="A17:A30"/>
    <mergeCell ref="A10:A16"/>
    <mergeCell ref="A90:A92"/>
    <mergeCell ref="B90:E90"/>
    <mergeCell ref="B91:E91"/>
    <mergeCell ref="B92:E92"/>
    <mergeCell ref="A86:A89"/>
    <mergeCell ref="A73:A76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282D-10A6-4FAE-9CF3-1797FFFB5A3C}">
  <dimension ref="A5:R117"/>
  <sheetViews>
    <sheetView tabSelected="1" topLeftCell="A82" workbookViewId="0">
      <selection activeCell="F92" sqref="F92:F94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3.21875" style="1" customWidth="1"/>
    <col min="4" max="4" width="11" style="1" customWidth="1"/>
    <col min="5" max="5" width="13.109375" style="1" customWidth="1"/>
    <col min="6" max="6" width="9.44140625" style="1" bestFit="1" customWidth="1"/>
    <col min="7" max="8" width="9.109375" style="1" bestFit="1" customWidth="1"/>
    <col min="9" max="9" width="9.88671875" style="1" bestFit="1" customWidth="1"/>
    <col min="10" max="10" width="9" style="1"/>
    <col min="11" max="11" width="9.88671875" style="1" customWidth="1"/>
    <col min="12" max="13" width="11.6640625" style="1" bestFit="1" customWidth="1"/>
    <col min="14" max="16384" width="9" style="1"/>
  </cols>
  <sheetData>
    <row r="5" spans="1:16" ht="13.5" customHeight="1" x14ac:dyDescent="0.25">
      <c r="A5" s="4" t="s">
        <v>177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I5" s="1" t="s">
        <v>6</v>
      </c>
      <c r="J5" s="1" t="s">
        <v>7</v>
      </c>
      <c r="K5" s="1" t="s">
        <v>8</v>
      </c>
      <c r="L5" s="1" t="s">
        <v>9</v>
      </c>
      <c r="M5" s="36" t="s">
        <v>25</v>
      </c>
      <c r="N5" s="36"/>
    </row>
    <row r="6" spans="1:16" x14ac:dyDescent="0.25">
      <c r="A6" s="34" t="s">
        <v>176</v>
      </c>
      <c r="B6" s="2" t="s">
        <v>11</v>
      </c>
      <c r="C6" s="2" t="str">
        <f t="shared" ref="C6:C69" si="0">CONCATENATE("□",I6,"×",J6,"×",K6)</f>
        <v>□19380×16×45500</v>
      </c>
      <c r="D6" s="2">
        <v>1</v>
      </c>
      <c r="E6" s="3">
        <f>IF(L6&gt;0,(L6*J6/1000000000*7850),(I6*J6*K6/1000000000*7850))</f>
        <v>108067.28790059457</v>
      </c>
      <c r="F6" s="3">
        <f t="shared" ref="F6:F90" si="1">D6*E6</f>
        <v>108067.28790059457</v>
      </c>
      <c r="I6" s="1">
        <v>19380</v>
      </c>
      <c r="J6" s="1">
        <v>16</v>
      </c>
      <c r="K6" s="5">
        <v>45500</v>
      </c>
      <c r="L6" s="1">
        <f>430204171.5788*2</f>
        <v>860408343.15760005</v>
      </c>
      <c r="M6" s="6">
        <f>IF(L6&gt;0,(L6*2/1000000),(I6*K6*2/1000000))</f>
        <v>1720.8166863152001</v>
      </c>
      <c r="N6" s="5">
        <f t="shared" ref="N6" si="2">D6*M6</f>
        <v>1720.8166863152001</v>
      </c>
      <c r="P6" s="5"/>
    </row>
    <row r="7" spans="1:16" x14ac:dyDescent="0.25">
      <c r="A7" s="34"/>
      <c r="B7" s="4" t="s">
        <v>14</v>
      </c>
      <c r="C7" s="2" t="str">
        <f t="shared" si="0"/>
        <v>□460×24×19433</v>
      </c>
      <c r="D7" s="2">
        <v>2</v>
      </c>
      <c r="E7" s="3">
        <f>IF(L7&gt;0,(L7*J7/1000000000*7850),(I7*J7*K7/1000000000*7850))</f>
        <v>1684.1415120000001</v>
      </c>
      <c r="F7" s="3">
        <f t="shared" si="1"/>
        <v>3368.2830240000003</v>
      </c>
      <c r="I7" s="1">
        <v>460</v>
      </c>
      <c r="J7" s="1">
        <v>24</v>
      </c>
      <c r="K7" s="5">
        <v>19433</v>
      </c>
      <c r="M7" s="6">
        <f t="shared" ref="M7:M67" si="3">IF(L7&gt;0,(L7*2/1000000),(I7*K7*2/1000000))</f>
        <v>17.878360000000001</v>
      </c>
      <c r="N7" s="5">
        <f t="shared" ref="N7:N67" si="4">D7*M7</f>
        <v>35.756720000000001</v>
      </c>
      <c r="P7" s="5"/>
    </row>
    <row r="8" spans="1:16" x14ac:dyDescent="0.25">
      <c r="A8" s="34"/>
      <c r="B8" s="4" t="s">
        <v>32</v>
      </c>
      <c r="C8" s="9" t="str">
        <f>CONCATENATE("□",I8,"×",J8,"×",K8,"(总长)")</f>
        <v>□140×12×740106(总长)</v>
      </c>
      <c r="D8" s="2">
        <v>1</v>
      </c>
      <c r="E8" s="3">
        <f>IF(L8&gt;0,(L8*J8/1000000000*7850),(I8*J8*K8/1000000000*7850))</f>
        <v>9760.5179280000011</v>
      </c>
      <c r="F8" s="3">
        <f t="shared" si="1"/>
        <v>9760.5179280000011</v>
      </c>
      <c r="I8" s="1">
        <v>140</v>
      </c>
      <c r="J8" s="1">
        <v>12</v>
      </c>
      <c r="K8" s="5">
        <f>370053*2</f>
        <v>740106</v>
      </c>
      <c r="M8" s="6">
        <f t="shared" si="3"/>
        <v>207.22968</v>
      </c>
      <c r="N8" s="5">
        <f t="shared" si="4"/>
        <v>207.22968</v>
      </c>
      <c r="P8" s="5"/>
    </row>
    <row r="9" spans="1:16" x14ac:dyDescent="0.25">
      <c r="A9" s="34"/>
      <c r="B9" s="11" t="s">
        <v>31</v>
      </c>
      <c r="C9" s="12" t="str">
        <f>CONCATENATE("U",I9,"×",J9,"×",K9)</f>
        <v>U300×8×19010</v>
      </c>
      <c r="D9" s="12">
        <v>40</v>
      </c>
      <c r="E9" s="13">
        <f>L9*I9/1000000000*7850</f>
        <v>13.425314292000001</v>
      </c>
      <c r="F9" s="13">
        <f t="shared" si="1"/>
        <v>537.01257168000006</v>
      </c>
      <c r="I9" s="1">
        <v>300</v>
      </c>
      <c r="J9" s="1">
        <v>8</v>
      </c>
      <c r="K9" s="5">
        <v>19010</v>
      </c>
      <c r="L9" s="1">
        <v>5700.7704000000003</v>
      </c>
      <c r="M9" s="6">
        <f t="shared" si="3"/>
        <v>1.14015408E-2</v>
      </c>
      <c r="N9" s="5">
        <f t="shared" si="4"/>
        <v>0.45606163199999999</v>
      </c>
      <c r="P9" s="5"/>
    </row>
    <row r="10" spans="1:16" x14ac:dyDescent="0.25">
      <c r="A10" s="37" t="s">
        <v>175</v>
      </c>
      <c r="B10" s="2" t="s">
        <v>10</v>
      </c>
      <c r="C10" s="2" t="str">
        <f t="shared" si="0"/>
        <v>□500×16×19518</v>
      </c>
      <c r="D10" s="2">
        <v>4</v>
      </c>
      <c r="E10" s="3">
        <f t="shared" ref="E10:E90" si="5">IF(L10&gt;0,(L10*J10/1000000000*7850),(I10*J10*K10/1000000000*7850))</f>
        <v>1225.7304000000001</v>
      </c>
      <c r="F10" s="3">
        <f t="shared" si="1"/>
        <v>4902.9216000000006</v>
      </c>
      <c r="I10" s="1">
        <v>500</v>
      </c>
      <c r="J10" s="1">
        <v>16</v>
      </c>
      <c r="K10" s="5">
        <f>9759*2</f>
        <v>19518</v>
      </c>
      <c r="M10" s="6">
        <f t="shared" si="3"/>
        <v>19.518000000000001</v>
      </c>
      <c r="N10" s="5">
        <f t="shared" si="4"/>
        <v>78.072000000000003</v>
      </c>
      <c r="P10" s="5"/>
    </row>
    <row r="11" spans="1:16" x14ac:dyDescent="0.25">
      <c r="A11" s="38"/>
      <c r="B11" s="2" t="s">
        <v>30</v>
      </c>
      <c r="C11" s="2" t="str">
        <f>CONCATENATE("□",I11,"×",J11,"×",K11)</f>
        <v>□8687×16×19778</v>
      </c>
      <c r="D11" s="2">
        <v>1</v>
      </c>
      <c r="E11" s="3">
        <f>IF(L11&gt;0,(L11*J11/1000000000*7850),(I11*J11*K11/1000000000*7850))</f>
        <v>21892.800389764881</v>
      </c>
      <c r="F11" s="3">
        <f>D11*E11</f>
        <v>21892.800389764881</v>
      </c>
      <c r="I11" s="1">
        <v>8687</v>
      </c>
      <c r="J11" s="1">
        <v>16</v>
      </c>
      <c r="K11" s="5">
        <f>9889*2</f>
        <v>19778</v>
      </c>
      <c r="L11" s="1">
        <v>174305735.5873</v>
      </c>
      <c r="M11" s="6">
        <f t="shared" si="3"/>
        <v>348.61147117460001</v>
      </c>
      <c r="N11" s="5">
        <f t="shared" si="4"/>
        <v>348.61147117460001</v>
      </c>
      <c r="P11" s="5"/>
    </row>
    <row r="12" spans="1:16" x14ac:dyDescent="0.25">
      <c r="A12" s="38"/>
      <c r="B12" s="2" t="s">
        <v>37</v>
      </c>
      <c r="C12" s="2" t="str">
        <f t="shared" si="0"/>
        <v>□8696×36×18980</v>
      </c>
      <c r="D12" s="2">
        <v>2</v>
      </c>
      <c r="E12" s="3">
        <f t="shared" si="5"/>
        <v>43872.754742105943</v>
      </c>
      <c r="F12" s="3">
        <f t="shared" si="1"/>
        <v>87745.509484211885</v>
      </c>
      <c r="I12" s="1">
        <v>8696</v>
      </c>
      <c r="J12" s="1">
        <v>36</v>
      </c>
      <c r="K12" s="5">
        <v>18980</v>
      </c>
      <c r="L12" s="1">
        <v>155246832.06690001</v>
      </c>
      <c r="M12" s="6">
        <f t="shared" si="3"/>
        <v>310.49366413380005</v>
      </c>
      <c r="N12" s="5">
        <f t="shared" si="4"/>
        <v>620.98732826760011</v>
      </c>
      <c r="P12" s="5"/>
    </row>
    <row r="13" spans="1:16" x14ac:dyDescent="0.25">
      <c r="A13" s="38"/>
      <c r="B13" s="2" t="s">
        <v>184</v>
      </c>
      <c r="C13" s="15" t="str">
        <f>CONCATENATE("□",I13,"×",J13,"×",K13,"(平均)")</f>
        <v>□380×16×3050(平均)</v>
      </c>
      <c r="D13" s="2">
        <v>16</v>
      </c>
      <c r="E13" s="16">
        <f t="shared" si="5"/>
        <v>145.57040000000001</v>
      </c>
      <c r="F13" s="3">
        <f t="shared" si="1"/>
        <v>2329.1264000000001</v>
      </c>
      <c r="I13" s="1">
        <v>380</v>
      </c>
      <c r="J13" s="1">
        <v>16</v>
      </c>
      <c r="K13" s="5">
        <f>(2656+3444)/2</f>
        <v>3050</v>
      </c>
      <c r="M13" s="6">
        <f t="shared" si="3"/>
        <v>2.3180000000000001</v>
      </c>
      <c r="N13" s="5">
        <f t="shared" si="4"/>
        <v>37.088000000000001</v>
      </c>
      <c r="P13" s="5"/>
    </row>
    <row r="14" spans="1:16" x14ac:dyDescent="0.25">
      <c r="A14" s="38"/>
      <c r="B14" s="2" t="s">
        <v>185</v>
      </c>
      <c r="C14" s="26" t="str">
        <f>CONCATENATE("□",I14,"×",J14,"×",K14)</f>
        <v>□246×16×2656</v>
      </c>
      <c r="D14" s="2">
        <v>2</v>
      </c>
      <c r="E14" s="3">
        <f t="shared" si="5"/>
        <v>82.064025599999994</v>
      </c>
      <c r="F14" s="3">
        <f t="shared" si="1"/>
        <v>164.12805119999999</v>
      </c>
      <c r="I14" s="1">
        <v>246</v>
      </c>
      <c r="J14" s="1">
        <v>16</v>
      </c>
      <c r="K14" s="5">
        <v>2656</v>
      </c>
      <c r="M14" s="6">
        <f t="shared" si="3"/>
        <v>1.3067519999999999</v>
      </c>
      <c r="N14" s="5">
        <f t="shared" si="4"/>
        <v>2.6135039999999998</v>
      </c>
      <c r="P14" s="5"/>
    </row>
    <row r="15" spans="1:16" x14ac:dyDescent="0.25">
      <c r="A15" s="38"/>
      <c r="B15" s="2" t="s">
        <v>15</v>
      </c>
      <c r="C15" s="9" t="str">
        <f>CONCATENATE("□",I15,"×",J15,"×",K15,"(总长)")</f>
        <v>□140×12×470644(总长)</v>
      </c>
      <c r="D15" s="2">
        <v>1</v>
      </c>
      <c r="E15" s="3">
        <f t="shared" si="5"/>
        <v>6206.8530719999999</v>
      </c>
      <c r="F15" s="3">
        <f t="shared" si="1"/>
        <v>6206.8530719999999</v>
      </c>
      <c r="I15" s="1">
        <v>140</v>
      </c>
      <c r="J15" s="1">
        <v>12</v>
      </c>
      <c r="K15" s="5">
        <f>235322*2</f>
        <v>470644</v>
      </c>
      <c r="M15" s="6">
        <f t="shared" si="3"/>
        <v>131.78031999999999</v>
      </c>
      <c r="N15" s="5">
        <f t="shared" si="4"/>
        <v>131.78031999999999</v>
      </c>
      <c r="P15" s="5"/>
    </row>
    <row r="16" spans="1:16" x14ac:dyDescent="0.25">
      <c r="A16" s="39"/>
      <c r="B16" s="2" t="s">
        <v>191</v>
      </c>
      <c r="C16" s="26" t="str">
        <f>CONCATENATE("□",I16,"×",J16,"×",K16)</f>
        <v>□140×12×19878</v>
      </c>
      <c r="D16" s="2">
        <v>14</v>
      </c>
      <c r="E16" s="3">
        <f>IF(L16&gt;0,(L16*J16/1000000000*7850),(I16*J16*K16/1000000000*7850))</f>
        <v>262.15106400000002</v>
      </c>
      <c r="F16" s="3">
        <f>D16*E16</f>
        <v>3670.114896</v>
      </c>
      <c r="I16" s="1">
        <v>140</v>
      </c>
      <c r="J16" s="1">
        <v>12</v>
      </c>
      <c r="K16" s="5">
        <f>9939*2</f>
        <v>19878</v>
      </c>
      <c r="M16" s="6">
        <f t="shared" si="3"/>
        <v>5.5658399999999997</v>
      </c>
      <c r="N16" s="5">
        <f t="shared" si="4"/>
        <v>77.921759999999992</v>
      </c>
      <c r="P16" s="5"/>
    </row>
    <row r="17" spans="1:16" x14ac:dyDescent="0.25">
      <c r="A17" s="37" t="s">
        <v>174</v>
      </c>
      <c r="B17" s="4" t="s">
        <v>12</v>
      </c>
      <c r="C17" s="2" t="str">
        <f t="shared" si="0"/>
        <v>□3056×14×19332</v>
      </c>
      <c r="D17" s="2">
        <v>2</v>
      </c>
      <c r="E17" s="3">
        <f t="shared" si="5"/>
        <v>6492.7372608000005</v>
      </c>
      <c r="F17" s="3">
        <f t="shared" si="1"/>
        <v>12985.474521600001</v>
      </c>
      <c r="I17" s="1">
        <v>3056</v>
      </c>
      <c r="J17" s="1">
        <v>14</v>
      </c>
      <c r="K17" s="5">
        <v>19332</v>
      </c>
      <c r="M17" s="6">
        <f t="shared" si="3"/>
        <v>118.157184</v>
      </c>
      <c r="N17" s="5">
        <f t="shared" si="4"/>
        <v>236.314368</v>
      </c>
      <c r="P17" s="5"/>
    </row>
    <row r="18" spans="1:16" x14ac:dyDescent="0.25">
      <c r="A18" s="38"/>
      <c r="B18" s="4" t="s">
        <v>13</v>
      </c>
      <c r="C18" s="2" t="str">
        <f t="shared" si="0"/>
        <v>□2285×14×19018</v>
      </c>
      <c r="D18" s="2">
        <v>2</v>
      </c>
      <c r="E18" s="3">
        <f t="shared" si="5"/>
        <v>4775.8286870000002</v>
      </c>
      <c r="F18" s="3">
        <f t="shared" si="1"/>
        <v>9551.6573740000003</v>
      </c>
      <c r="I18" s="1">
        <v>2285</v>
      </c>
      <c r="J18" s="1">
        <v>14</v>
      </c>
      <c r="K18" s="5">
        <v>19018</v>
      </c>
      <c r="M18" s="6">
        <f t="shared" si="3"/>
        <v>86.912260000000003</v>
      </c>
      <c r="N18" s="5">
        <f t="shared" si="4"/>
        <v>173.82452000000001</v>
      </c>
      <c r="P18" s="5"/>
    </row>
    <row r="19" spans="1:16" x14ac:dyDescent="0.25">
      <c r="A19" s="38"/>
      <c r="B19" s="4" t="s">
        <v>178</v>
      </c>
      <c r="C19" s="2" t="str">
        <f t="shared" si="0"/>
        <v>□2196×40×15283</v>
      </c>
      <c r="D19" s="2">
        <v>2</v>
      </c>
      <c r="E19" s="3">
        <f t="shared" si="5"/>
        <v>10050.3860237024</v>
      </c>
      <c r="F19" s="3">
        <f t="shared" si="1"/>
        <v>20100.7720474048</v>
      </c>
      <c r="I19" s="1">
        <v>2196</v>
      </c>
      <c r="J19" s="1">
        <v>40</v>
      </c>
      <c r="K19" s="5">
        <v>15283</v>
      </c>
      <c r="L19" s="1">
        <v>32007598.801600002</v>
      </c>
      <c r="M19" s="6">
        <f t="shared" si="3"/>
        <v>64.015197603200008</v>
      </c>
      <c r="N19" s="5">
        <f t="shared" si="4"/>
        <v>128.03039520640002</v>
      </c>
      <c r="P19" s="5"/>
    </row>
    <row r="20" spans="1:16" x14ac:dyDescent="0.25">
      <c r="A20" s="38"/>
      <c r="B20" s="4" t="s">
        <v>229</v>
      </c>
      <c r="C20" s="2" t="str">
        <f t="shared" ref="C20" si="6">CONCATENATE("□",I20,"×",J20,"×",K20)</f>
        <v>□2196×24×138</v>
      </c>
      <c r="D20" s="2">
        <v>2</v>
      </c>
      <c r="E20" s="3">
        <f t="shared" ref="E20" si="7">IF(L20&gt;0,(L20*J20/1000000000*7850),(I20*J20*K20/1000000000*7850))</f>
        <v>57.094243200000001</v>
      </c>
      <c r="F20" s="3">
        <f t="shared" ref="F20" si="8">D20*E20</f>
        <v>114.1884864</v>
      </c>
      <c r="I20" s="1">
        <f>I19</f>
        <v>2196</v>
      </c>
      <c r="J20" s="1">
        <v>24</v>
      </c>
      <c r="K20" s="5">
        <v>138</v>
      </c>
      <c r="M20" s="6">
        <f t="shared" si="3"/>
        <v>0.60609599999999997</v>
      </c>
      <c r="N20" s="5">
        <f t="shared" si="4"/>
        <v>1.2121919999999999</v>
      </c>
      <c r="P20" s="5"/>
    </row>
    <row r="21" spans="1:16" x14ac:dyDescent="0.25">
      <c r="A21" s="38"/>
      <c r="B21" s="4" t="s">
        <v>186</v>
      </c>
      <c r="C21" s="2" t="str">
        <f t="shared" si="0"/>
        <v>□2188×40×17218</v>
      </c>
      <c r="D21" s="2">
        <v>2</v>
      </c>
      <c r="E21" s="3">
        <f t="shared" si="5"/>
        <v>11346.2917610808</v>
      </c>
      <c r="F21" s="3">
        <f t="shared" si="1"/>
        <v>22692.5835221616</v>
      </c>
      <c r="I21" s="1">
        <v>2188</v>
      </c>
      <c r="J21" s="1">
        <v>40</v>
      </c>
      <c r="K21" s="5">
        <v>17218</v>
      </c>
      <c r="L21" s="1">
        <v>36134687.137199998</v>
      </c>
      <c r="M21" s="6">
        <f t="shared" si="3"/>
        <v>72.269374274399993</v>
      </c>
      <c r="N21" s="5">
        <f t="shared" si="4"/>
        <v>144.53874854879999</v>
      </c>
      <c r="P21" s="5"/>
    </row>
    <row r="22" spans="1:16" x14ac:dyDescent="0.25">
      <c r="A22" s="38"/>
      <c r="B22" s="4" t="s">
        <v>230</v>
      </c>
      <c r="C22" s="2" t="str">
        <f t="shared" si="0"/>
        <v>□2188×24×138</v>
      </c>
      <c r="D22" s="2">
        <v>2</v>
      </c>
      <c r="E22" s="3">
        <f t="shared" si="5"/>
        <v>56.886249599999999</v>
      </c>
      <c r="F22" s="3">
        <f t="shared" si="1"/>
        <v>113.7724992</v>
      </c>
      <c r="I22" s="1">
        <f>I21</f>
        <v>2188</v>
      </c>
      <c r="J22" s="1">
        <v>24</v>
      </c>
      <c r="K22" s="5">
        <v>138</v>
      </c>
      <c r="M22" s="6">
        <f t="shared" si="3"/>
        <v>0.60388799999999998</v>
      </c>
      <c r="N22" s="5">
        <f t="shared" si="4"/>
        <v>1.207776</v>
      </c>
      <c r="P22" s="5"/>
    </row>
    <row r="23" spans="1:16" x14ac:dyDescent="0.25">
      <c r="A23" s="38"/>
      <c r="B23" s="4" t="s">
        <v>187</v>
      </c>
      <c r="C23" s="2" t="str">
        <f t="shared" si="0"/>
        <v>□2178×40×18883</v>
      </c>
      <c r="D23" s="2">
        <v>2</v>
      </c>
      <c r="E23" s="3">
        <f>IF(L23&gt;0,(L23*J23/1000000000*7850),(I23*J23*K23/1000000000*7850))</f>
        <v>12913.932636</v>
      </c>
      <c r="F23" s="3">
        <f>D23*E23</f>
        <v>25827.865271999999</v>
      </c>
      <c r="I23" s="1">
        <v>2178</v>
      </c>
      <c r="J23" s="1">
        <v>40</v>
      </c>
      <c r="K23" s="5">
        <v>18883</v>
      </c>
      <c r="M23" s="6">
        <f t="shared" si="3"/>
        <v>82.254347999999993</v>
      </c>
      <c r="N23" s="5">
        <f t="shared" si="4"/>
        <v>164.50869599999999</v>
      </c>
      <c r="P23" s="5"/>
    </row>
    <row r="24" spans="1:16" x14ac:dyDescent="0.25">
      <c r="A24" s="38"/>
      <c r="B24" s="4" t="s">
        <v>231</v>
      </c>
      <c r="C24" s="2" t="str">
        <f t="shared" si="0"/>
        <v>□2178×24×138</v>
      </c>
      <c r="D24" s="2">
        <v>2</v>
      </c>
      <c r="E24" s="3">
        <f t="shared" ref="E24" si="9">IF(L24&gt;0,(L24*J24/1000000000*7850),(I24*J24*K24/1000000000*7850))</f>
        <v>56.626257600000002</v>
      </c>
      <c r="F24" s="3">
        <f t="shared" ref="F24" si="10">D24*E24</f>
        <v>113.2525152</v>
      </c>
      <c r="I24" s="1">
        <f>I23</f>
        <v>2178</v>
      </c>
      <c r="J24" s="1">
        <v>24</v>
      </c>
      <c r="K24" s="5">
        <v>138</v>
      </c>
      <c r="M24" s="6">
        <f t="shared" si="3"/>
        <v>0.601128</v>
      </c>
      <c r="N24" s="5">
        <f t="shared" si="4"/>
        <v>1.202256</v>
      </c>
      <c r="P24" s="5"/>
    </row>
    <row r="25" spans="1:16" x14ac:dyDescent="0.25">
      <c r="A25" s="38"/>
      <c r="B25" s="4" t="s">
        <v>190</v>
      </c>
      <c r="C25" s="15" t="str">
        <f>CONCATENATE("□",I25,"×",J25,"×",K25,"(平均)")</f>
        <v>□2031×12×2321(平均)</v>
      </c>
      <c r="D25" s="2">
        <v>16</v>
      </c>
      <c r="E25" s="16">
        <f t="shared" si="5"/>
        <v>383.02146449994001</v>
      </c>
      <c r="F25" s="3">
        <f>D25*E25</f>
        <v>6128.3434319990401</v>
      </c>
      <c r="I25" s="5">
        <v>2031</v>
      </c>
      <c r="J25" s="1">
        <v>12</v>
      </c>
      <c r="K25" s="5">
        <v>2321</v>
      </c>
      <c r="L25" s="1">
        <v>4066045.2707000002</v>
      </c>
      <c r="M25" s="6">
        <f t="shared" si="3"/>
        <v>8.1320905414000002</v>
      </c>
      <c r="N25" s="5">
        <f t="shared" si="4"/>
        <v>130.1134486624</v>
      </c>
      <c r="P25" s="5"/>
    </row>
    <row r="26" spans="1:16" x14ac:dyDescent="0.25">
      <c r="A26" s="38"/>
      <c r="B26" s="4" t="s">
        <v>16</v>
      </c>
      <c r="C26" s="9" t="str">
        <f>CONCATENATE("□",I26,"×",J26,"×",K26,"(总长)")</f>
        <v>□140×12×715335(总长)</v>
      </c>
      <c r="D26" s="2">
        <v>1</v>
      </c>
      <c r="E26" s="3">
        <f t="shared" si="5"/>
        <v>9433.8379800000002</v>
      </c>
      <c r="F26" s="3">
        <f t="shared" si="1"/>
        <v>9433.8379800000002</v>
      </c>
      <c r="I26" s="1">
        <v>140</v>
      </c>
      <c r="J26" s="1">
        <v>12</v>
      </c>
      <c r="K26" s="5">
        <f>357667.5*2</f>
        <v>715335</v>
      </c>
      <c r="M26" s="6">
        <f t="shared" si="3"/>
        <v>200.2938</v>
      </c>
      <c r="N26" s="5">
        <f t="shared" si="4"/>
        <v>200.2938</v>
      </c>
      <c r="P26" s="5"/>
    </row>
    <row r="27" spans="1:16" x14ac:dyDescent="0.25">
      <c r="A27" s="38"/>
      <c r="B27" s="4" t="s">
        <v>33</v>
      </c>
      <c r="C27" s="2" t="str">
        <f t="shared" si="0"/>
        <v>□176×16×450</v>
      </c>
      <c r="D27" s="2">
        <v>18</v>
      </c>
      <c r="E27" s="3">
        <f t="shared" si="5"/>
        <v>9.9475200000000008</v>
      </c>
      <c r="F27" s="3">
        <f t="shared" si="1"/>
        <v>179.05536000000001</v>
      </c>
      <c r="I27" s="1">
        <v>176</v>
      </c>
      <c r="J27" s="1">
        <v>16</v>
      </c>
      <c r="K27" s="5">
        <v>450</v>
      </c>
      <c r="M27" s="6">
        <f t="shared" si="3"/>
        <v>0.15840000000000001</v>
      </c>
      <c r="N27" s="5">
        <f t="shared" si="4"/>
        <v>2.8512000000000004</v>
      </c>
      <c r="P27" s="5"/>
    </row>
    <row r="28" spans="1:16" x14ac:dyDescent="0.25">
      <c r="A28" s="38"/>
      <c r="B28" s="4" t="s">
        <v>34</v>
      </c>
      <c r="C28" s="2" t="str">
        <f t="shared" si="0"/>
        <v>□184×16×450</v>
      </c>
      <c r="D28" s="2">
        <f>4*4</f>
        <v>16</v>
      </c>
      <c r="E28" s="3">
        <f t="shared" si="5"/>
        <v>10.39968</v>
      </c>
      <c r="F28" s="3">
        <f t="shared" si="1"/>
        <v>166.39488</v>
      </c>
      <c r="I28" s="1">
        <v>184</v>
      </c>
      <c r="J28" s="1">
        <v>16</v>
      </c>
      <c r="K28" s="5">
        <v>450</v>
      </c>
      <c r="M28" s="6">
        <f t="shared" si="3"/>
        <v>0.1656</v>
      </c>
      <c r="N28" s="5">
        <f t="shared" si="4"/>
        <v>2.6496</v>
      </c>
      <c r="P28" s="5"/>
    </row>
    <row r="29" spans="1:16" x14ac:dyDescent="0.25">
      <c r="A29" s="38"/>
      <c r="B29" s="4" t="s">
        <v>188</v>
      </c>
      <c r="C29" s="15" t="str">
        <f>CONCATENATE("□",I29,"×",J29,"×",K29,"(平均)")</f>
        <v>□100×10×1310(平均)</v>
      </c>
      <c r="D29" s="2">
        <v>32</v>
      </c>
      <c r="E29" s="16">
        <f t="shared" si="5"/>
        <v>10.2835</v>
      </c>
      <c r="F29" s="3">
        <f>D29*E29</f>
        <v>329.072</v>
      </c>
      <c r="I29" s="1">
        <v>100</v>
      </c>
      <c r="J29" s="1">
        <v>10</v>
      </c>
      <c r="K29" s="5">
        <f>(1020+1600)/2</f>
        <v>1310</v>
      </c>
      <c r="M29" s="6">
        <f t="shared" si="3"/>
        <v>0.26200000000000001</v>
      </c>
      <c r="N29" s="5">
        <f t="shared" si="4"/>
        <v>8.3840000000000003</v>
      </c>
      <c r="P29" s="5"/>
    </row>
    <row r="30" spans="1:16" x14ac:dyDescent="0.25">
      <c r="A30" s="38"/>
      <c r="B30" s="4" t="s">
        <v>189</v>
      </c>
      <c r="C30" s="2" t="str">
        <f>CONCATENATE("□",I30,"×",J30,"×",K30)</f>
        <v>□100×10×1290</v>
      </c>
      <c r="D30" s="2">
        <v>24</v>
      </c>
      <c r="E30" s="3">
        <f>IF(L30&gt;0,(L30*J30/1000000000*7850),(I30*J30*K30/1000000000*7850))</f>
        <v>10.1265</v>
      </c>
      <c r="F30" s="3">
        <f>D30*E30</f>
        <v>243.036</v>
      </c>
      <c r="I30" s="5">
        <v>100</v>
      </c>
      <c r="J30" s="1">
        <v>10</v>
      </c>
      <c r="K30" s="5">
        <v>1290</v>
      </c>
      <c r="M30" s="6">
        <f t="shared" si="3"/>
        <v>0.25800000000000001</v>
      </c>
      <c r="N30" s="5">
        <f t="shared" si="4"/>
        <v>6.1920000000000002</v>
      </c>
      <c r="P30" s="5"/>
    </row>
    <row r="31" spans="1:16" x14ac:dyDescent="0.25">
      <c r="A31" s="34" t="s">
        <v>173</v>
      </c>
      <c r="B31" s="4" t="s">
        <v>17</v>
      </c>
      <c r="C31" s="2" t="str">
        <f t="shared" si="0"/>
        <v>□2181×12×4320</v>
      </c>
      <c r="D31" s="2">
        <v>2</v>
      </c>
      <c r="E31" s="3">
        <f t="shared" si="5"/>
        <v>715.87419935712001</v>
      </c>
      <c r="F31" s="3">
        <f t="shared" si="1"/>
        <v>1431.74839871424</v>
      </c>
      <c r="I31" s="1">
        <v>2181</v>
      </c>
      <c r="J31" s="1">
        <v>12</v>
      </c>
      <c r="K31" s="5">
        <v>4320</v>
      </c>
      <c r="L31" s="1">
        <v>7599513.7936000004</v>
      </c>
      <c r="M31" s="6">
        <f t="shared" si="3"/>
        <v>15.199027587200002</v>
      </c>
      <c r="N31" s="5">
        <f t="shared" si="4"/>
        <v>30.398055174400003</v>
      </c>
      <c r="P31" s="5"/>
    </row>
    <row r="32" spans="1:16" x14ac:dyDescent="0.25">
      <c r="A32" s="34"/>
      <c r="B32" s="4" t="s">
        <v>192</v>
      </c>
      <c r="C32" s="2" t="str">
        <f>CONCATENATE("□",I32,"×",J32,"×",K32)</f>
        <v>□2180×12×5002</v>
      </c>
      <c r="D32" s="2">
        <v>2</v>
      </c>
      <c r="E32" s="3">
        <f>IF(L32&gt;0,(L32*J32/1000000000*7850),(I32*J32*K32/1000000000*7850))</f>
        <v>739.73562782586009</v>
      </c>
      <c r="F32" s="3">
        <f>D32*E32</f>
        <v>1479.4712556517202</v>
      </c>
      <c r="I32" s="1">
        <v>2180</v>
      </c>
      <c r="J32" s="1">
        <v>12</v>
      </c>
      <c r="K32" s="5">
        <v>5002</v>
      </c>
      <c r="L32" s="1">
        <v>7852819.8283000002</v>
      </c>
      <c r="M32" s="6">
        <f t="shared" si="3"/>
        <v>15.705639656600001</v>
      </c>
      <c r="N32" s="5">
        <f t="shared" si="4"/>
        <v>31.411279313200001</v>
      </c>
      <c r="P32" s="5"/>
    </row>
    <row r="33" spans="1:16" x14ac:dyDescent="0.25">
      <c r="A33" s="34"/>
      <c r="B33" s="4" t="s">
        <v>170</v>
      </c>
      <c r="C33" s="2" t="str">
        <f>CONCATENATE("□",I33,"×",J33,"×",K33)</f>
        <v>□2180×12×4320</v>
      </c>
      <c r="D33" s="2">
        <v>2</v>
      </c>
      <c r="E33" s="3">
        <f>IF(L33&gt;0,(L33*J33/1000000000*7850),(I33*J33*K33/1000000000*7850))</f>
        <v>715.87024194918001</v>
      </c>
      <c r="F33" s="3">
        <f>D33*E33</f>
        <v>1431.74048389836</v>
      </c>
      <c r="I33" s="1">
        <v>2180</v>
      </c>
      <c r="J33" s="1">
        <v>12</v>
      </c>
      <c r="K33" s="5">
        <v>4320</v>
      </c>
      <c r="L33" s="1">
        <v>7599471.7829</v>
      </c>
      <c r="M33" s="6">
        <f t="shared" si="3"/>
        <v>15.1989435658</v>
      </c>
      <c r="N33" s="5">
        <f t="shared" si="4"/>
        <v>30.397887131600001</v>
      </c>
      <c r="P33" s="5"/>
    </row>
    <row r="34" spans="1:16" x14ac:dyDescent="0.25">
      <c r="A34" s="34"/>
      <c r="B34" s="4" t="s">
        <v>167</v>
      </c>
      <c r="C34" s="2" t="str">
        <f t="shared" si="0"/>
        <v>□806×12×2188</v>
      </c>
      <c r="D34" s="2">
        <v>2</v>
      </c>
      <c r="E34" s="3">
        <f t="shared" si="5"/>
        <v>136.82803812479997</v>
      </c>
      <c r="F34" s="3">
        <f t="shared" si="1"/>
        <v>273.65607624959995</v>
      </c>
      <c r="I34" s="1">
        <v>806</v>
      </c>
      <c r="J34" s="1">
        <v>12</v>
      </c>
      <c r="K34" s="5">
        <v>2188</v>
      </c>
      <c r="L34" s="1">
        <v>1452526.9439999999</v>
      </c>
      <c r="M34" s="6">
        <f t="shared" si="3"/>
        <v>2.9050538879999999</v>
      </c>
      <c r="N34" s="5">
        <f t="shared" si="4"/>
        <v>5.8101077759999997</v>
      </c>
      <c r="P34" s="5"/>
    </row>
    <row r="35" spans="1:16" x14ac:dyDescent="0.25">
      <c r="A35" s="34"/>
      <c r="B35" s="4" t="s">
        <v>194</v>
      </c>
      <c r="C35" s="2" t="str">
        <f t="shared" si="0"/>
        <v>□2189×12×4577</v>
      </c>
      <c r="D35" s="2">
        <v>2</v>
      </c>
      <c r="E35" s="3">
        <f t="shared" si="5"/>
        <v>655.22510616149998</v>
      </c>
      <c r="F35" s="3">
        <f t="shared" si="1"/>
        <v>1310.450212323</v>
      </c>
      <c r="I35" s="1">
        <v>2189</v>
      </c>
      <c r="J35" s="1">
        <v>12</v>
      </c>
      <c r="K35" s="5">
        <v>4577</v>
      </c>
      <c r="L35" s="1">
        <v>6955680.5324999997</v>
      </c>
      <c r="M35" s="6">
        <f t="shared" si="3"/>
        <v>13.911361064999999</v>
      </c>
      <c r="N35" s="5">
        <f t="shared" si="4"/>
        <v>27.822722129999999</v>
      </c>
      <c r="P35" s="5"/>
    </row>
    <row r="36" spans="1:16" x14ac:dyDescent="0.25">
      <c r="A36" s="34"/>
      <c r="B36" s="4" t="s">
        <v>168</v>
      </c>
      <c r="C36" s="2" t="str">
        <f t="shared" si="0"/>
        <v>□2180×12×4320</v>
      </c>
      <c r="D36" s="2">
        <v>2</v>
      </c>
      <c r="E36" s="3">
        <f>IF(L36&gt;0,(L36*J36/1000000000*7850),(I36*J36*K36/1000000000*7850))</f>
        <v>715.87024192091985</v>
      </c>
      <c r="F36" s="3">
        <f>D36*E36</f>
        <v>1431.7404838418397</v>
      </c>
      <c r="I36" s="1">
        <v>2180</v>
      </c>
      <c r="J36" s="1">
        <v>12</v>
      </c>
      <c r="K36" s="5">
        <v>4320</v>
      </c>
      <c r="L36" s="1">
        <v>7599471.7825999996</v>
      </c>
      <c r="M36" s="6">
        <f t="shared" si="3"/>
        <v>15.198943565199999</v>
      </c>
      <c r="N36" s="5">
        <f t="shared" si="4"/>
        <v>30.397887130399997</v>
      </c>
      <c r="P36" s="5"/>
    </row>
    <row r="37" spans="1:16" x14ac:dyDescent="0.25">
      <c r="A37" s="34"/>
      <c r="B37" s="4" t="s">
        <v>196</v>
      </c>
      <c r="C37" s="2" t="str">
        <f t="shared" si="0"/>
        <v>□806×12×2188</v>
      </c>
      <c r="D37" s="2">
        <v>2</v>
      </c>
      <c r="E37" s="3">
        <f>IF(L37&gt;0,(L37*J37/1000000000*7850),(I37*J37*K37/1000000000*7850))</f>
        <v>136.89594026369997</v>
      </c>
      <c r="F37" s="3">
        <f>D37*E37</f>
        <v>273.79188052739994</v>
      </c>
      <c r="I37" s="1">
        <v>806</v>
      </c>
      <c r="J37" s="1">
        <v>12</v>
      </c>
      <c r="K37" s="5">
        <v>2188</v>
      </c>
      <c r="L37" s="1">
        <v>1453247.7734999999</v>
      </c>
      <c r="M37" s="6">
        <f t="shared" si="3"/>
        <v>2.9064955469999996</v>
      </c>
      <c r="N37" s="5">
        <f t="shared" si="4"/>
        <v>5.8129910939999991</v>
      </c>
      <c r="P37" s="5"/>
    </row>
    <row r="38" spans="1:16" x14ac:dyDescent="0.25">
      <c r="A38" s="34"/>
      <c r="B38" s="4" t="s">
        <v>197</v>
      </c>
      <c r="C38" s="2" t="str">
        <f t="shared" si="0"/>
        <v>□766×12×2196</v>
      </c>
      <c r="D38" s="2">
        <v>2</v>
      </c>
      <c r="E38" s="3">
        <f t="shared" si="5"/>
        <v>129.38301927312</v>
      </c>
      <c r="F38" s="3">
        <f t="shared" si="1"/>
        <v>258.76603854624</v>
      </c>
      <c r="I38" s="1">
        <v>766</v>
      </c>
      <c r="J38" s="1">
        <v>12</v>
      </c>
      <c r="K38" s="5">
        <v>2196</v>
      </c>
      <c r="L38" s="1">
        <v>1373492.7736</v>
      </c>
      <c r="M38" s="6">
        <f t="shared" si="3"/>
        <v>2.7469855472</v>
      </c>
      <c r="N38" s="5">
        <f t="shared" si="4"/>
        <v>5.4939710944</v>
      </c>
      <c r="P38" s="5"/>
    </row>
    <row r="39" spans="1:16" x14ac:dyDescent="0.25">
      <c r="A39" s="34"/>
      <c r="B39" s="4" t="s">
        <v>198</v>
      </c>
      <c r="C39" s="2" t="str">
        <f>CONCATENATE("□",I39,"×",J39,"×",K39)</f>
        <v>□2197×12×4190</v>
      </c>
      <c r="D39" s="2">
        <v>2</v>
      </c>
      <c r="E39" s="3">
        <f>IF(L39&gt;0,(L39*J39/1000000000*7850),(I39*J39*K39/1000000000*7850))</f>
        <v>578.85488871636005</v>
      </c>
      <c r="F39" s="3">
        <f>D39*E39</f>
        <v>1157.7097774327201</v>
      </c>
      <c r="I39" s="1">
        <v>2197</v>
      </c>
      <c r="J39" s="1">
        <v>12</v>
      </c>
      <c r="K39" s="5">
        <v>4190</v>
      </c>
      <c r="L39" s="1">
        <v>6144956.3558</v>
      </c>
      <c r="M39" s="6">
        <f t="shared" si="3"/>
        <v>12.2899127116</v>
      </c>
      <c r="N39" s="5">
        <f t="shared" si="4"/>
        <v>24.579825423199999</v>
      </c>
      <c r="P39" s="5"/>
    </row>
    <row r="40" spans="1:16" x14ac:dyDescent="0.25">
      <c r="A40" s="34"/>
      <c r="B40" s="4" t="s">
        <v>226</v>
      </c>
      <c r="C40" s="2" t="str">
        <f>CONCATENATE("□",I40,"×",J40,"×",K40)</f>
        <v>□2180×12×4320</v>
      </c>
      <c r="D40" s="2">
        <v>2</v>
      </c>
      <c r="E40" s="3">
        <f>IF(L40&gt;0,(L40*J40/1000000000*7850),(I40*J40*K40/1000000000*7850))</f>
        <v>715.87024194918001</v>
      </c>
      <c r="F40" s="3">
        <f>D40*E40</f>
        <v>1431.74048389836</v>
      </c>
      <c r="I40" s="1">
        <v>2180</v>
      </c>
      <c r="J40" s="1">
        <v>12</v>
      </c>
      <c r="K40" s="5">
        <v>4320</v>
      </c>
      <c r="L40" s="1">
        <v>7599471.7829</v>
      </c>
      <c r="M40" s="6">
        <f t="shared" si="3"/>
        <v>15.1989435658</v>
      </c>
      <c r="N40" s="5">
        <f t="shared" si="4"/>
        <v>30.397887131600001</v>
      </c>
      <c r="P40" s="5"/>
    </row>
    <row r="41" spans="1:16" x14ac:dyDescent="0.25">
      <c r="A41" s="34"/>
      <c r="B41" s="4" t="s">
        <v>199</v>
      </c>
      <c r="C41" s="2" t="str">
        <f>CONCATENATE("□",I41,"×",J41,"×",K41)</f>
        <v>□806×12×2188</v>
      </c>
      <c r="D41" s="2">
        <v>2</v>
      </c>
      <c r="E41" s="3">
        <f>IF(L41&gt;0,(L41*J41/1000000000*7850),(I41*J41*K41/1000000000*7850))</f>
        <v>136.89594026369997</v>
      </c>
      <c r="F41" s="3">
        <f>D41*E41</f>
        <v>273.79188052739994</v>
      </c>
      <c r="I41" s="1">
        <v>806</v>
      </c>
      <c r="J41" s="1">
        <v>12</v>
      </c>
      <c r="K41" s="5">
        <v>2188</v>
      </c>
      <c r="L41" s="1">
        <v>1453247.7734999999</v>
      </c>
      <c r="M41" s="6">
        <f t="shared" si="3"/>
        <v>2.9064955469999996</v>
      </c>
      <c r="N41" s="5">
        <f t="shared" si="4"/>
        <v>5.8129910939999991</v>
      </c>
      <c r="P41" s="5"/>
    </row>
    <row r="42" spans="1:16" x14ac:dyDescent="0.25">
      <c r="A42" s="34"/>
      <c r="B42" s="4" t="s">
        <v>200</v>
      </c>
      <c r="C42" s="2" t="str">
        <f t="shared" si="0"/>
        <v>□766×12×2196</v>
      </c>
      <c r="D42" s="2">
        <v>2</v>
      </c>
      <c r="E42" s="3">
        <f t="shared" si="5"/>
        <v>129.38301927312</v>
      </c>
      <c r="F42" s="3">
        <f t="shared" si="1"/>
        <v>258.76603854624</v>
      </c>
      <c r="I42" s="1">
        <v>766</v>
      </c>
      <c r="J42" s="1">
        <v>12</v>
      </c>
      <c r="K42" s="5">
        <v>2196</v>
      </c>
      <c r="L42" s="1">
        <v>1373492.7736</v>
      </c>
      <c r="M42" s="6">
        <f t="shared" si="3"/>
        <v>2.7469855472</v>
      </c>
      <c r="N42" s="5">
        <f t="shared" si="4"/>
        <v>5.4939710944</v>
      </c>
      <c r="P42" s="5"/>
    </row>
    <row r="43" spans="1:16" x14ac:dyDescent="0.25">
      <c r="A43" s="34"/>
      <c r="B43" s="4" t="s">
        <v>201</v>
      </c>
      <c r="C43" s="2" t="str">
        <f t="shared" si="0"/>
        <v>□2197×12×4612</v>
      </c>
      <c r="D43" s="2">
        <v>2</v>
      </c>
      <c r="E43" s="3">
        <f t="shared" si="5"/>
        <v>666.21028314347996</v>
      </c>
      <c r="F43" s="3">
        <f t="shared" si="1"/>
        <v>1332.4205662869599</v>
      </c>
      <c r="I43" s="1">
        <v>2197</v>
      </c>
      <c r="J43" s="1">
        <v>12</v>
      </c>
      <c r="K43" s="5">
        <v>4612</v>
      </c>
      <c r="L43" s="1">
        <v>7072295.9994000001</v>
      </c>
      <c r="M43" s="6">
        <f t="shared" si="3"/>
        <v>14.144591998799999</v>
      </c>
      <c r="N43" s="5">
        <f t="shared" si="4"/>
        <v>28.289183997599999</v>
      </c>
      <c r="P43" s="5"/>
    </row>
    <row r="44" spans="1:16" x14ac:dyDescent="0.25">
      <c r="A44" s="34"/>
      <c r="B44" s="4" t="s">
        <v>27</v>
      </c>
      <c r="C44" s="2" t="str">
        <f t="shared" si="0"/>
        <v>□2180×28×4320</v>
      </c>
      <c r="D44" s="2">
        <v>2</v>
      </c>
      <c r="E44" s="3">
        <f t="shared" si="5"/>
        <v>1670.3647437157799</v>
      </c>
      <c r="F44" s="3">
        <f t="shared" si="1"/>
        <v>3340.7294874315598</v>
      </c>
      <c r="I44" s="1">
        <v>2180</v>
      </c>
      <c r="J44" s="1">
        <v>28</v>
      </c>
      <c r="K44" s="5">
        <v>4320</v>
      </c>
      <c r="L44" s="1">
        <v>7599475.6310999999</v>
      </c>
      <c r="M44" s="6">
        <f t="shared" si="3"/>
        <v>15.1989512622</v>
      </c>
      <c r="N44" s="5">
        <f t="shared" si="4"/>
        <v>30.397902524399999</v>
      </c>
      <c r="P44" s="5"/>
    </row>
    <row r="45" spans="1:16" x14ac:dyDescent="0.25">
      <c r="A45" s="34"/>
      <c r="B45" s="4" t="s">
        <v>165</v>
      </c>
      <c r="C45" s="2" t="str">
        <f t="shared" si="0"/>
        <v>□837×40×2188</v>
      </c>
      <c r="D45" s="2">
        <v>2</v>
      </c>
      <c r="E45" s="3">
        <f t="shared" si="5"/>
        <v>477.88421418600001</v>
      </c>
      <c r="F45" s="3">
        <f t="shared" si="1"/>
        <v>955.76842837200002</v>
      </c>
      <c r="I45" s="1">
        <v>837</v>
      </c>
      <c r="J45" s="1">
        <v>40</v>
      </c>
      <c r="K45" s="5">
        <v>2188</v>
      </c>
      <c r="L45" s="1">
        <v>1521924.2490000001</v>
      </c>
      <c r="M45" s="6">
        <f t="shared" si="3"/>
        <v>3.043848498</v>
      </c>
      <c r="N45" s="5">
        <f t="shared" si="4"/>
        <v>6.087696996</v>
      </c>
      <c r="P45" s="5"/>
    </row>
    <row r="46" spans="1:16" x14ac:dyDescent="0.25">
      <c r="A46" s="34"/>
      <c r="B46" s="4" t="s">
        <v>181</v>
      </c>
      <c r="C46" s="2" t="str">
        <f t="shared" si="0"/>
        <v>□797×40×2196</v>
      </c>
      <c r="D46" s="2">
        <v>2</v>
      </c>
      <c r="E46" s="3">
        <f t="shared" si="5"/>
        <v>452.30078450619999</v>
      </c>
      <c r="F46" s="3">
        <f t="shared" si="1"/>
        <v>904.60156901239998</v>
      </c>
      <c r="I46" s="1">
        <v>797</v>
      </c>
      <c r="J46" s="1">
        <v>40</v>
      </c>
      <c r="K46" s="5">
        <v>2196</v>
      </c>
      <c r="L46" s="1">
        <v>1440448.3583</v>
      </c>
      <c r="M46" s="6">
        <f t="shared" si="3"/>
        <v>2.8808967166000001</v>
      </c>
      <c r="N46" s="5">
        <f t="shared" si="4"/>
        <v>5.7617934332000003</v>
      </c>
      <c r="P46" s="5"/>
    </row>
    <row r="47" spans="1:16" x14ac:dyDescent="0.25">
      <c r="A47" s="34"/>
      <c r="B47" s="4" t="s">
        <v>202</v>
      </c>
      <c r="C47" s="2" t="str">
        <f t="shared" si="0"/>
        <v>□2196×28×5074</v>
      </c>
      <c r="D47" s="2">
        <v>2</v>
      </c>
      <c r="E47" s="3">
        <f t="shared" si="5"/>
        <v>1775.34173787194</v>
      </c>
      <c r="F47" s="3">
        <f t="shared" si="1"/>
        <v>3550.6834757438801</v>
      </c>
      <c r="I47" s="1">
        <v>2196</v>
      </c>
      <c r="J47" s="1">
        <v>28</v>
      </c>
      <c r="K47" s="5">
        <v>5074</v>
      </c>
      <c r="L47" s="1">
        <v>8077077.9703000002</v>
      </c>
      <c r="M47" s="6">
        <f t="shared" si="3"/>
        <v>16.154155940599999</v>
      </c>
      <c r="N47" s="5">
        <f t="shared" si="4"/>
        <v>32.308311881199998</v>
      </c>
      <c r="P47" s="5"/>
    </row>
    <row r="48" spans="1:16" x14ac:dyDescent="0.25">
      <c r="A48" s="34"/>
      <c r="B48" s="4" t="s">
        <v>166</v>
      </c>
      <c r="C48" s="2" t="str">
        <f t="shared" si="0"/>
        <v>□2181×28×4033</v>
      </c>
      <c r="D48" s="2">
        <v>2</v>
      </c>
      <c r="E48" s="3">
        <f t="shared" si="5"/>
        <v>1527.2397031598</v>
      </c>
      <c r="F48" s="3">
        <f t="shared" si="1"/>
        <v>3054.4794063196</v>
      </c>
      <c r="I48" s="1">
        <v>2181</v>
      </c>
      <c r="J48" s="1">
        <v>28</v>
      </c>
      <c r="K48" s="5">
        <v>4033</v>
      </c>
      <c r="L48" s="1">
        <v>6948315.301</v>
      </c>
      <c r="M48" s="6">
        <f t="shared" si="3"/>
        <v>13.896630602</v>
      </c>
      <c r="N48" s="5">
        <f t="shared" si="4"/>
        <v>27.793261204</v>
      </c>
      <c r="P48" s="5"/>
    </row>
    <row r="49" spans="1:18" x14ac:dyDescent="0.25">
      <c r="A49" s="34"/>
      <c r="B49" s="4" t="s">
        <v>232</v>
      </c>
      <c r="C49" s="2" t="str">
        <f t="shared" si="0"/>
        <v>□1121×28×2188</v>
      </c>
      <c r="D49" s="2">
        <v>2</v>
      </c>
      <c r="E49" s="3">
        <f t="shared" si="5"/>
        <v>471.08766649209997</v>
      </c>
      <c r="F49" s="3">
        <f t="shared" si="1"/>
        <v>942.17533298419994</v>
      </c>
      <c r="I49" s="1">
        <v>1121</v>
      </c>
      <c r="J49" s="1">
        <v>28</v>
      </c>
      <c r="K49" s="5">
        <v>2188</v>
      </c>
      <c r="L49" s="1">
        <v>2143255.9895000001</v>
      </c>
      <c r="M49" s="6">
        <f t="shared" si="3"/>
        <v>4.2865119790000001</v>
      </c>
      <c r="N49" s="5">
        <f t="shared" si="4"/>
        <v>8.5730239580000003</v>
      </c>
      <c r="P49" s="5"/>
    </row>
    <row r="50" spans="1:18" x14ac:dyDescent="0.25">
      <c r="A50" s="34"/>
      <c r="B50" s="4" t="s">
        <v>203</v>
      </c>
      <c r="C50" s="2" t="str">
        <f t="shared" si="0"/>
        <v>□975×28×2196</v>
      </c>
      <c r="D50" s="2">
        <v>2</v>
      </c>
      <c r="E50" s="3">
        <f t="shared" si="5"/>
        <v>402.60272584167996</v>
      </c>
      <c r="F50" s="3">
        <f t="shared" si="1"/>
        <v>805.20545168335991</v>
      </c>
      <c r="I50" s="1">
        <v>975</v>
      </c>
      <c r="J50" s="1">
        <v>28</v>
      </c>
      <c r="K50" s="5">
        <v>2196</v>
      </c>
      <c r="L50" s="1">
        <v>1831677.5515999999</v>
      </c>
      <c r="M50" s="6">
        <f t="shared" si="3"/>
        <v>3.6633551031999998</v>
      </c>
      <c r="N50" s="5">
        <f t="shared" si="4"/>
        <v>7.3267102063999996</v>
      </c>
      <c r="P50" s="5"/>
    </row>
    <row r="51" spans="1:18" x14ac:dyDescent="0.25">
      <c r="A51" s="34"/>
      <c r="B51" s="4" t="s">
        <v>204</v>
      </c>
      <c r="C51" s="2" t="str">
        <f t="shared" si="0"/>
        <v>□2199×28×4873</v>
      </c>
      <c r="D51" s="2">
        <v>2</v>
      </c>
      <c r="E51" s="3">
        <f t="shared" si="5"/>
        <v>1683.1550887652199</v>
      </c>
      <c r="F51" s="3">
        <f t="shared" si="1"/>
        <v>3366.3101775304399</v>
      </c>
      <c r="I51" s="1">
        <v>2199</v>
      </c>
      <c r="J51" s="1">
        <v>28</v>
      </c>
      <c r="K51" s="5">
        <v>4873</v>
      </c>
      <c r="L51" s="1">
        <v>7657666.4638999999</v>
      </c>
      <c r="M51" s="6">
        <f t="shared" si="3"/>
        <v>15.3153329278</v>
      </c>
      <c r="N51" s="5">
        <f t="shared" si="4"/>
        <v>30.6306658556</v>
      </c>
      <c r="P51" s="5"/>
    </row>
    <row r="52" spans="1:18" x14ac:dyDescent="0.25">
      <c r="A52" s="34"/>
      <c r="B52" s="4" t="s">
        <v>227</v>
      </c>
      <c r="C52" s="2" t="str">
        <f t="shared" si="0"/>
        <v>□2180×28×4058</v>
      </c>
      <c r="D52" s="2">
        <v>2</v>
      </c>
      <c r="E52" s="3">
        <f t="shared" si="5"/>
        <v>1548.8775936254601</v>
      </c>
      <c r="F52" s="3">
        <f t="shared" si="1"/>
        <v>3097.7551872509202</v>
      </c>
      <c r="I52" s="1">
        <v>2180</v>
      </c>
      <c r="J52" s="1">
        <v>28</v>
      </c>
      <c r="K52" s="5">
        <v>4058</v>
      </c>
      <c r="L52" s="1">
        <v>7046758.8426999999</v>
      </c>
      <c r="M52" s="6">
        <f t="shared" si="3"/>
        <v>14.0935176854</v>
      </c>
      <c r="N52" s="5">
        <f t="shared" si="4"/>
        <v>28.1870353708</v>
      </c>
      <c r="P52" s="5"/>
    </row>
    <row r="53" spans="1:18" x14ac:dyDescent="0.25">
      <c r="A53" s="34"/>
      <c r="B53" s="4" t="s">
        <v>180</v>
      </c>
      <c r="C53" s="2" t="str">
        <f t="shared" si="0"/>
        <v>□1076×28×2188</v>
      </c>
      <c r="D53" s="2">
        <v>2</v>
      </c>
      <c r="E53" s="3">
        <f t="shared" si="5"/>
        <v>449.12429016391997</v>
      </c>
      <c r="F53" s="3">
        <f t="shared" si="1"/>
        <v>898.24858032783993</v>
      </c>
      <c r="I53" s="1">
        <v>1076</v>
      </c>
      <c r="J53" s="1">
        <v>28</v>
      </c>
      <c r="K53" s="5">
        <v>2188</v>
      </c>
      <c r="L53" s="1">
        <v>2043331.6203999999</v>
      </c>
      <c r="M53" s="6">
        <f t="shared" si="3"/>
        <v>4.0866632408000001</v>
      </c>
      <c r="N53" s="5">
        <f t="shared" si="4"/>
        <v>8.1733264816000002</v>
      </c>
      <c r="P53" s="5"/>
    </row>
    <row r="54" spans="1:18" x14ac:dyDescent="0.25">
      <c r="A54" s="34"/>
      <c r="B54" s="4" t="s">
        <v>205</v>
      </c>
      <c r="C54" s="2" t="str">
        <f t="shared" si="0"/>
        <v>□1189×28×2201</v>
      </c>
      <c r="D54" s="2">
        <v>2</v>
      </c>
      <c r="E54" s="3">
        <f t="shared" si="5"/>
        <v>506.07295387362001</v>
      </c>
      <c r="F54" s="3">
        <f t="shared" si="1"/>
        <v>1012.14590774724</v>
      </c>
      <c r="I54" s="1">
        <v>1189</v>
      </c>
      <c r="J54" s="1">
        <v>28</v>
      </c>
      <c r="K54" s="5">
        <v>2201</v>
      </c>
      <c r="L54" s="1">
        <v>2302424.7218999998</v>
      </c>
      <c r="M54" s="6">
        <f t="shared" si="3"/>
        <v>4.6048494437999992</v>
      </c>
      <c r="N54" s="5">
        <f t="shared" si="4"/>
        <v>9.2096988875999983</v>
      </c>
      <c r="P54" s="5"/>
    </row>
    <row r="55" spans="1:18" x14ac:dyDescent="0.25">
      <c r="A55" s="34"/>
      <c r="B55" s="4" t="s">
        <v>206</v>
      </c>
      <c r="C55" s="2" t="str">
        <f t="shared" si="0"/>
        <v>□2201×28×4660</v>
      </c>
      <c r="D55" s="2">
        <v>2</v>
      </c>
      <c r="E55" s="3">
        <f t="shared" si="5"/>
        <v>1580.3846998010399</v>
      </c>
      <c r="F55" s="3">
        <f t="shared" si="1"/>
        <v>3160.7693996020798</v>
      </c>
      <c r="I55" s="1">
        <v>2201</v>
      </c>
      <c r="J55" s="1">
        <v>28</v>
      </c>
      <c r="K55" s="5">
        <v>4660</v>
      </c>
      <c r="L55" s="1">
        <v>7190103.2747999998</v>
      </c>
      <c r="M55" s="6">
        <f t="shared" si="3"/>
        <v>14.3802065496</v>
      </c>
      <c r="N55" s="5">
        <f t="shared" si="4"/>
        <v>28.760413099200001</v>
      </c>
      <c r="P55" s="5"/>
    </row>
    <row r="56" spans="1:18" x14ac:dyDescent="0.25">
      <c r="A56" s="34"/>
      <c r="B56" s="4" t="s">
        <v>228</v>
      </c>
      <c r="C56" s="2" t="str">
        <f t="shared" si="0"/>
        <v>□2180×28×4350</v>
      </c>
      <c r="D56" s="2">
        <v>2</v>
      </c>
      <c r="E56" s="3">
        <f t="shared" si="5"/>
        <v>1686.8778823139601</v>
      </c>
      <c r="F56" s="3">
        <f t="shared" si="1"/>
        <v>3373.7557646279201</v>
      </c>
      <c r="I56" s="1">
        <v>2180</v>
      </c>
      <c r="J56" s="1">
        <v>28</v>
      </c>
      <c r="K56" s="5">
        <v>4350</v>
      </c>
      <c r="L56" s="1">
        <v>7674603.6502</v>
      </c>
      <c r="M56" s="6">
        <f t="shared" si="3"/>
        <v>15.3492073004</v>
      </c>
      <c r="N56" s="5">
        <f t="shared" si="4"/>
        <v>30.6984146008</v>
      </c>
      <c r="P56" s="5"/>
    </row>
    <row r="57" spans="1:18" x14ac:dyDescent="0.25">
      <c r="A57" s="34"/>
      <c r="B57" s="4" t="s">
        <v>169</v>
      </c>
      <c r="C57" s="2" t="str">
        <f t="shared" si="0"/>
        <v>□805×40×2188</v>
      </c>
      <c r="D57" s="2">
        <v>2</v>
      </c>
      <c r="E57" s="3">
        <f t="shared" si="5"/>
        <v>532.62490847420008</v>
      </c>
      <c r="F57" s="3">
        <f t="shared" si="1"/>
        <v>1065.2498169484002</v>
      </c>
      <c r="I57" s="1">
        <v>805</v>
      </c>
      <c r="J57" s="1">
        <v>40</v>
      </c>
      <c r="K57" s="5">
        <v>2188</v>
      </c>
      <c r="L57" s="1">
        <v>1696257.6703000001</v>
      </c>
      <c r="M57" s="6">
        <f t="shared" si="3"/>
        <v>3.3925153406000002</v>
      </c>
      <c r="N57" s="5">
        <f t="shared" si="4"/>
        <v>6.7850306812000003</v>
      </c>
      <c r="P57" s="5"/>
    </row>
    <row r="58" spans="1:18" x14ac:dyDescent="0.25">
      <c r="A58" s="34"/>
      <c r="B58" s="4" t="s">
        <v>182</v>
      </c>
      <c r="C58" s="2" t="str">
        <f t="shared" si="0"/>
        <v>□805×40×2196</v>
      </c>
      <c r="D58" s="2">
        <v>2</v>
      </c>
      <c r="E58" s="3">
        <f t="shared" si="5"/>
        <v>534.64258728599987</v>
      </c>
      <c r="F58" s="3">
        <f t="shared" si="1"/>
        <v>1069.2851745719997</v>
      </c>
      <c r="I58" s="1">
        <v>805</v>
      </c>
      <c r="J58" s="1">
        <v>40</v>
      </c>
      <c r="K58" s="5">
        <v>2196</v>
      </c>
      <c r="L58" s="1">
        <v>1702683.399</v>
      </c>
      <c r="M58" s="6">
        <f t="shared" si="3"/>
        <v>3.4053667979999998</v>
      </c>
      <c r="N58" s="5">
        <f t="shared" si="4"/>
        <v>6.8107335959999995</v>
      </c>
      <c r="P58" s="5"/>
    </row>
    <row r="59" spans="1:18" x14ac:dyDescent="0.25">
      <c r="A59" s="34"/>
      <c r="B59" s="4" t="s">
        <v>233</v>
      </c>
      <c r="C59" s="2" t="str">
        <f t="shared" ref="C59" si="11">CONCATENATE("□",I59,"×",J59,"×",K59)</f>
        <v>□2196×28×5065</v>
      </c>
      <c r="D59" s="2">
        <v>2</v>
      </c>
      <c r="E59" s="3">
        <f t="shared" ref="E59" si="12">IF(L59&gt;0,(L59*J59/1000000000*7850),(I59*J59*K59/1000000000*7850))</f>
        <v>1773.66980330148</v>
      </c>
      <c r="F59" s="3">
        <f t="shared" si="1"/>
        <v>3547.33960660296</v>
      </c>
      <c r="I59" s="1">
        <v>2196</v>
      </c>
      <c r="J59" s="1">
        <v>28</v>
      </c>
      <c r="K59" s="5">
        <v>5065</v>
      </c>
      <c r="L59" s="1">
        <v>8069471.3525999999</v>
      </c>
      <c r="M59" s="6">
        <f t="shared" si="3"/>
        <v>16.138942705199998</v>
      </c>
      <c r="N59" s="5">
        <f t="shared" si="4"/>
        <v>32.277885410399996</v>
      </c>
      <c r="P59" s="5"/>
    </row>
    <row r="60" spans="1:18" x14ac:dyDescent="0.25">
      <c r="A60" s="34"/>
      <c r="B60" s="4" t="s">
        <v>171</v>
      </c>
      <c r="C60" s="2" t="str">
        <f t="shared" ref="C60" si="13">CONCATENATE("□",I60,"×",J60,"×",K60)</f>
        <v>□2139×24×41190</v>
      </c>
      <c r="D60" s="2">
        <v>1</v>
      </c>
      <c r="E60" s="3">
        <f t="shared" ref="E60" si="14">IF(L60&gt;0,(L60*J60/1000000000*7850),(I60*J60*K60/1000000000*7850))</f>
        <v>7758.8432288612394</v>
      </c>
      <c r="F60" s="3">
        <f t="shared" ref="F60" si="15">D60*E60</f>
        <v>7758.8432288612394</v>
      </c>
      <c r="I60" s="1">
        <v>2139</v>
      </c>
      <c r="J60" s="1">
        <v>24</v>
      </c>
      <c r="K60" s="5">
        <f>20595*2</f>
        <v>41190</v>
      </c>
      <c r="L60" s="1">
        <v>41182819.686099999</v>
      </c>
      <c r="M60" s="6">
        <f t="shared" si="3"/>
        <v>82.365639372199993</v>
      </c>
      <c r="N60" s="5">
        <f t="shared" si="4"/>
        <v>82.365639372199993</v>
      </c>
      <c r="P60" s="5"/>
    </row>
    <row r="61" spans="1:18" ht="15.6" customHeight="1" x14ac:dyDescent="0.25">
      <c r="A61" s="34"/>
      <c r="B61" s="4" t="s">
        <v>234</v>
      </c>
      <c r="C61" s="15" t="str">
        <f>CONCATENATE("□",I61,"×",J61,"×",K61,"(平均)")</f>
        <v>□876×12×3042(平均)</v>
      </c>
      <c r="D61" s="2">
        <v>18</v>
      </c>
      <c r="E61" s="16">
        <f t="shared" si="5"/>
        <v>123.97796576946001</v>
      </c>
      <c r="F61" s="3">
        <f t="shared" ref="F61" si="16">D61*E61</f>
        <v>2231.6033838502804</v>
      </c>
      <c r="I61" s="1">
        <v>876</v>
      </c>
      <c r="J61" s="1">
        <v>12</v>
      </c>
      <c r="K61" s="5">
        <v>3042</v>
      </c>
      <c r="L61" s="1">
        <f>(1538004.0482+1094224.5244)/2</f>
        <v>1316114.2863</v>
      </c>
      <c r="M61" s="6">
        <f t="shared" si="3"/>
        <v>2.6322285725999999</v>
      </c>
      <c r="N61" s="5">
        <f t="shared" si="4"/>
        <v>47.380114306799996</v>
      </c>
      <c r="P61" s="5"/>
      <c r="Q61" s="5"/>
      <c r="R61" s="5"/>
    </row>
    <row r="62" spans="1:18" x14ac:dyDescent="0.25">
      <c r="A62" s="34"/>
      <c r="B62" s="4" t="s">
        <v>207</v>
      </c>
      <c r="C62" s="2" t="str">
        <f t="shared" si="0"/>
        <v>□2384×12×19864</v>
      </c>
      <c r="D62" s="2">
        <v>4</v>
      </c>
      <c r="E62" s="3">
        <f t="shared" si="5"/>
        <v>4011.95675345376</v>
      </c>
      <c r="F62" s="3">
        <f t="shared" si="1"/>
        <v>16047.82701381504</v>
      </c>
      <c r="I62" s="1">
        <v>2384</v>
      </c>
      <c r="J62" s="1">
        <v>12</v>
      </c>
      <c r="K62" s="5">
        <v>19864</v>
      </c>
      <c r="L62" s="1">
        <f>21294887.2264*2</f>
        <v>42589774.452799998</v>
      </c>
      <c r="M62" s="6">
        <f t="shared" si="3"/>
        <v>85.179548905600001</v>
      </c>
      <c r="N62" s="5">
        <f t="shared" si="4"/>
        <v>340.7181956224</v>
      </c>
      <c r="P62" s="5"/>
    </row>
    <row r="63" spans="1:18" x14ac:dyDescent="0.25">
      <c r="A63" s="34"/>
      <c r="B63" s="4" t="s">
        <v>208</v>
      </c>
      <c r="C63" s="2" t="str">
        <f t="shared" si="0"/>
        <v>□2384×12×19864</v>
      </c>
      <c r="D63" s="2">
        <v>3</v>
      </c>
      <c r="E63" s="3">
        <f t="shared" si="5"/>
        <v>3950.8958326192796</v>
      </c>
      <c r="F63" s="3">
        <f t="shared" si="1"/>
        <v>11852.687497857838</v>
      </c>
      <c r="I63" s="1">
        <v>2384</v>
      </c>
      <c r="J63" s="1">
        <v>12</v>
      </c>
      <c r="K63" s="5">
        <v>19864</v>
      </c>
      <c r="L63" s="1">
        <f>20970784.6742*2</f>
        <v>41941569.348399997</v>
      </c>
      <c r="M63" s="6">
        <f t="shared" si="3"/>
        <v>83.883138696799989</v>
      </c>
      <c r="N63" s="5">
        <f t="shared" si="4"/>
        <v>251.64941609039997</v>
      </c>
      <c r="P63" s="5"/>
    </row>
    <row r="64" spans="1:18" x14ac:dyDescent="0.25">
      <c r="A64" s="34"/>
      <c r="B64" s="4" t="s">
        <v>209</v>
      </c>
      <c r="C64" s="2" t="str">
        <f t="shared" si="0"/>
        <v>□2384×24×19864</v>
      </c>
      <c r="D64" s="2">
        <v>1</v>
      </c>
      <c r="E64" s="3">
        <f t="shared" si="5"/>
        <v>8024.2285079018393</v>
      </c>
      <c r="F64" s="3">
        <f t="shared" si="1"/>
        <v>8024.2285079018393</v>
      </c>
      <c r="I64" s="1">
        <v>2384</v>
      </c>
      <c r="J64" s="1">
        <v>24</v>
      </c>
      <c r="K64" s="5">
        <v>19864</v>
      </c>
      <c r="L64" s="1">
        <f>21295723.2163*2</f>
        <v>42591446.432599999</v>
      </c>
      <c r="M64" s="6">
        <f t="shared" si="3"/>
        <v>85.182892865200003</v>
      </c>
      <c r="N64" s="5">
        <f t="shared" si="4"/>
        <v>85.182892865200003</v>
      </c>
      <c r="P64" s="5"/>
    </row>
    <row r="65" spans="1:14" ht="14.25" customHeight="1" x14ac:dyDescent="0.25">
      <c r="A65" s="41" t="s">
        <v>172</v>
      </c>
      <c r="B65" s="4" t="s">
        <v>20</v>
      </c>
      <c r="C65" s="2" t="str">
        <f t="shared" si="0"/>
        <v>□140×12×19180</v>
      </c>
      <c r="D65" s="2">
        <v>8</v>
      </c>
      <c r="E65" s="3">
        <f t="shared" si="5"/>
        <v>252.94583999999998</v>
      </c>
      <c r="F65" s="3">
        <f t="shared" si="1"/>
        <v>2023.5667199999998</v>
      </c>
      <c r="I65" s="1">
        <v>140</v>
      </c>
      <c r="J65" s="1">
        <v>12</v>
      </c>
      <c r="K65" s="1">
        <f>9590*2</f>
        <v>19180</v>
      </c>
      <c r="M65" s="6">
        <f t="shared" si="3"/>
        <v>5.3704000000000001</v>
      </c>
      <c r="N65" s="5">
        <f t="shared" si="4"/>
        <v>42.963200000000001</v>
      </c>
    </row>
    <row r="66" spans="1:14" x14ac:dyDescent="0.25">
      <c r="A66" s="42"/>
      <c r="B66" s="4" t="s">
        <v>21</v>
      </c>
      <c r="C66" s="15" t="str">
        <f>CONCATENATE("□",I66,"×",J66,"×",K66,"(平均)")</f>
        <v>□180×12×1830(平均)</v>
      </c>
      <c r="D66" s="2">
        <v>80</v>
      </c>
      <c r="E66" s="16">
        <f t="shared" si="5"/>
        <v>31.029480000000003</v>
      </c>
      <c r="F66" s="3">
        <f t="shared" si="1"/>
        <v>2482.3584000000001</v>
      </c>
      <c r="I66" s="1">
        <v>180</v>
      </c>
      <c r="J66" s="1">
        <v>12</v>
      </c>
      <c r="K66" s="1">
        <v>1830</v>
      </c>
      <c r="M66" s="6">
        <f t="shared" si="3"/>
        <v>0.65880000000000005</v>
      </c>
      <c r="N66" s="5">
        <f t="shared" si="4"/>
        <v>52.704000000000008</v>
      </c>
    </row>
    <row r="67" spans="1:14" x14ac:dyDescent="0.25">
      <c r="A67" s="42"/>
      <c r="B67" s="4" t="s">
        <v>22</v>
      </c>
      <c r="C67" s="15" t="str">
        <f>CONCATENATE("□",I67,"×",J67,"×",K67,"(平均)")</f>
        <v>□100×10×19440(平均)</v>
      </c>
      <c r="D67" s="2">
        <v>6</v>
      </c>
      <c r="E67" s="16">
        <f t="shared" si="5"/>
        <v>152.60399999999998</v>
      </c>
      <c r="F67" s="3">
        <f t="shared" si="1"/>
        <v>915.62399999999991</v>
      </c>
      <c r="I67" s="1">
        <v>100</v>
      </c>
      <c r="J67" s="1">
        <v>10</v>
      </c>
      <c r="K67" s="1">
        <f>9589+9851</f>
        <v>19440</v>
      </c>
      <c r="M67" s="6">
        <f t="shared" si="3"/>
        <v>3.8879999999999999</v>
      </c>
      <c r="N67" s="5">
        <f t="shared" si="4"/>
        <v>23.327999999999999</v>
      </c>
    </row>
    <row r="68" spans="1:14" x14ac:dyDescent="0.25">
      <c r="A68" s="42"/>
      <c r="B68" s="4" t="s">
        <v>210</v>
      </c>
      <c r="C68" s="15" t="str">
        <f>CONCATENATE("□",I68,"×",J68,"×",K68,"(平均)")</f>
        <v>□100×10×9120(平均)</v>
      </c>
      <c r="D68" s="2">
        <v>12</v>
      </c>
      <c r="E68" s="16">
        <f t="shared" si="5"/>
        <v>71.591999999999999</v>
      </c>
      <c r="F68" s="3">
        <f t="shared" si="1"/>
        <v>859.10400000000004</v>
      </c>
      <c r="I68" s="1">
        <v>100</v>
      </c>
      <c r="J68" s="1">
        <v>10</v>
      </c>
      <c r="K68" s="1">
        <f>(9076+9164)/2</f>
        <v>9120</v>
      </c>
      <c r="M68" s="6">
        <f t="shared" ref="M68:M91" si="17">IF(L68&gt;0,(L68*2/1000000),(I68*K68*2/1000000))</f>
        <v>1.8240000000000001</v>
      </c>
      <c r="N68" s="5">
        <f t="shared" ref="N68:N91" si="18">D68*M68</f>
        <v>21.888000000000002</v>
      </c>
    </row>
    <row r="69" spans="1:14" x14ac:dyDescent="0.25">
      <c r="A69" s="42"/>
      <c r="B69" s="4" t="s">
        <v>35</v>
      </c>
      <c r="C69" s="2" t="str">
        <f t="shared" si="0"/>
        <v>□100×10×1340</v>
      </c>
      <c r="D69" s="2">
        <v>6</v>
      </c>
      <c r="E69" s="3">
        <f t="shared" si="5"/>
        <v>10.519</v>
      </c>
      <c r="F69" s="3">
        <f t="shared" si="1"/>
        <v>63.114000000000004</v>
      </c>
      <c r="I69" s="1">
        <v>100</v>
      </c>
      <c r="J69" s="1">
        <v>10</v>
      </c>
      <c r="K69" s="1">
        <v>1340</v>
      </c>
      <c r="M69" s="6">
        <f t="shared" si="17"/>
        <v>0.26800000000000002</v>
      </c>
      <c r="N69" s="5">
        <f t="shared" si="18"/>
        <v>1.6080000000000001</v>
      </c>
    </row>
    <row r="70" spans="1:14" x14ac:dyDescent="0.25">
      <c r="A70" s="42"/>
      <c r="B70" s="4" t="s">
        <v>36</v>
      </c>
      <c r="C70" s="15" t="str">
        <f>CONCATENATE("□",I70,"×",J70,"×",K70,"(平均)")</f>
        <v>□140×12×19440(平均)</v>
      </c>
      <c r="D70" s="2">
        <v>8</v>
      </c>
      <c r="E70" s="16">
        <f t="shared" si="5"/>
        <v>256.37471999999997</v>
      </c>
      <c r="F70" s="3">
        <f t="shared" si="1"/>
        <v>2050.9977599999997</v>
      </c>
      <c r="I70" s="1">
        <v>140</v>
      </c>
      <c r="J70" s="1">
        <v>12</v>
      </c>
      <c r="K70" s="1">
        <f>9589+9851</f>
        <v>19440</v>
      </c>
      <c r="M70" s="6">
        <f t="shared" si="17"/>
        <v>5.4432</v>
      </c>
      <c r="N70" s="5">
        <f t="shared" si="18"/>
        <v>43.5456</v>
      </c>
    </row>
    <row r="71" spans="1:14" x14ac:dyDescent="0.25">
      <c r="A71" s="42"/>
      <c r="B71" s="4" t="s">
        <v>48</v>
      </c>
      <c r="C71" s="15" t="str">
        <f>CONCATENATE("□",I71,"×",J71,"×",K71,"(平均)")</f>
        <v>□100×10×1562(平均)</v>
      </c>
      <c r="D71" s="2">
        <f>56*2</f>
        <v>112</v>
      </c>
      <c r="E71" s="16">
        <f t="shared" si="5"/>
        <v>12.261699999999999</v>
      </c>
      <c r="F71" s="3">
        <f t="shared" si="1"/>
        <v>1373.3103999999998</v>
      </c>
      <c r="I71" s="1">
        <v>100</v>
      </c>
      <c r="J71" s="1">
        <v>10</v>
      </c>
      <c r="K71" s="1">
        <f>(1833+1291)/2</f>
        <v>1562</v>
      </c>
      <c r="M71" s="6">
        <f t="shared" si="17"/>
        <v>0.31240000000000001</v>
      </c>
      <c r="N71" s="5">
        <f t="shared" si="18"/>
        <v>34.988799999999998</v>
      </c>
    </row>
    <row r="72" spans="1:14" x14ac:dyDescent="0.25">
      <c r="A72" s="42"/>
      <c r="B72" s="4" t="s">
        <v>38</v>
      </c>
      <c r="C72" s="15" t="str">
        <f t="shared" ref="C72" si="19">CONCATENATE("□",I72,"×",J72,"×",K72,"(平均)")</f>
        <v>□100×10×2864(平均)</v>
      </c>
      <c r="D72" s="2">
        <f>8*4*2</f>
        <v>64</v>
      </c>
      <c r="E72" s="3">
        <f t="shared" si="5"/>
        <v>22.482399999999998</v>
      </c>
      <c r="F72" s="3">
        <f t="shared" si="1"/>
        <v>1438.8735999999999</v>
      </c>
      <c r="I72" s="1">
        <v>100</v>
      </c>
      <c r="J72" s="1">
        <v>10</v>
      </c>
      <c r="K72" s="1">
        <f>(1801+3927)/2</f>
        <v>2864</v>
      </c>
      <c r="M72" s="6">
        <f t="shared" si="17"/>
        <v>0.57279999999999998</v>
      </c>
      <c r="N72" s="5">
        <f t="shared" si="18"/>
        <v>36.659199999999998</v>
      </c>
    </row>
    <row r="73" spans="1:14" x14ac:dyDescent="0.25">
      <c r="A73" s="42"/>
      <c r="B73" s="4" t="s">
        <v>39</v>
      </c>
      <c r="C73" s="2" t="str">
        <f t="shared" ref="C73:C79" si="20">CONCATENATE("□",I73,"×",J73,"×",K73)</f>
        <v>□134×12×300</v>
      </c>
      <c r="D73" s="2">
        <v>36</v>
      </c>
      <c r="E73" s="3">
        <f t="shared" si="5"/>
        <v>3.7868400000000002</v>
      </c>
      <c r="F73" s="3">
        <f t="shared" si="1"/>
        <v>136.32624000000001</v>
      </c>
      <c r="I73" s="1">
        <v>134</v>
      </c>
      <c r="J73" s="1">
        <v>12</v>
      </c>
      <c r="K73" s="1">
        <v>300</v>
      </c>
      <c r="M73" s="6">
        <f t="shared" si="17"/>
        <v>8.0399999999999999E-2</v>
      </c>
      <c r="N73" s="5">
        <f t="shared" si="18"/>
        <v>2.8944000000000001</v>
      </c>
    </row>
    <row r="74" spans="1:14" x14ac:dyDescent="0.25">
      <c r="A74" s="43"/>
      <c r="B74" s="4" t="s">
        <v>49</v>
      </c>
      <c r="C74" s="2" t="str">
        <f t="shared" si="20"/>
        <v>□134×12×400</v>
      </c>
      <c r="D74" s="2">
        <v>34</v>
      </c>
      <c r="E74" s="3">
        <f t="shared" si="5"/>
        <v>5.0491200000000003</v>
      </c>
      <c r="F74" s="3">
        <f t="shared" si="1"/>
        <v>171.67008000000001</v>
      </c>
      <c r="I74" s="1">
        <v>134</v>
      </c>
      <c r="J74" s="1">
        <v>12</v>
      </c>
      <c r="K74" s="1">
        <v>400</v>
      </c>
      <c r="M74" s="6">
        <f t="shared" si="17"/>
        <v>0.1072</v>
      </c>
      <c r="N74" s="5">
        <f t="shared" si="18"/>
        <v>3.6448</v>
      </c>
    </row>
    <row r="75" spans="1:14" x14ac:dyDescent="0.25">
      <c r="A75" s="41" t="s">
        <v>211</v>
      </c>
      <c r="B75" s="4" t="s">
        <v>212</v>
      </c>
      <c r="C75" s="2" t="str">
        <f t="shared" si="20"/>
        <v>□110×10×3748</v>
      </c>
      <c r="D75" s="2">
        <v>16</v>
      </c>
      <c r="E75" s="3">
        <f t="shared" si="5"/>
        <v>32.363980000000005</v>
      </c>
      <c r="F75" s="3">
        <f t="shared" si="1"/>
        <v>517.82368000000008</v>
      </c>
      <c r="I75" s="1">
        <v>110</v>
      </c>
      <c r="J75" s="1">
        <v>10</v>
      </c>
      <c r="K75" s="1">
        <v>3748</v>
      </c>
      <c r="M75" s="6">
        <f t="shared" si="17"/>
        <v>0.82455999999999996</v>
      </c>
      <c r="N75" s="5">
        <f t="shared" si="18"/>
        <v>13.192959999999999</v>
      </c>
    </row>
    <row r="76" spans="1:14" x14ac:dyDescent="0.25">
      <c r="A76" s="42"/>
      <c r="B76" s="4" t="s">
        <v>213</v>
      </c>
      <c r="C76" s="2" t="str">
        <f t="shared" si="20"/>
        <v>□110×10×2996</v>
      </c>
      <c r="D76" s="2">
        <f>19+16</f>
        <v>35</v>
      </c>
      <c r="E76" s="3">
        <f t="shared" si="5"/>
        <v>25.870460000000001</v>
      </c>
      <c r="F76" s="3">
        <f t="shared" si="1"/>
        <v>905.4661000000001</v>
      </c>
      <c r="I76" s="1">
        <v>110</v>
      </c>
      <c r="J76" s="1">
        <v>10</v>
      </c>
      <c r="K76" s="1">
        <v>2996</v>
      </c>
      <c r="M76" s="6">
        <f t="shared" si="17"/>
        <v>0.65912000000000004</v>
      </c>
      <c r="N76" s="5">
        <f t="shared" si="18"/>
        <v>23.069200000000002</v>
      </c>
    </row>
    <row r="77" spans="1:14" x14ac:dyDescent="0.25">
      <c r="A77" s="42"/>
      <c r="B77" s="4" t="s">
        <v>214</v>
      </c>
      <c r="C77" s="2" t="str">
        <f t="shared" si="20"/>
        <v>□110×10×1324</v>
      </c>
      <c r="D77" s="2">
        <f>22+6</f>
        <v>28</v>
      </c>
      <c r="E77" s="3">
        <f t="shared" si="5"/>
        <v>11.432740000000001</v>
      </c>
      <c r="F77" s="3">
        <f t="shared" si="1"/>
        <v>320.11672000000004</v>
      </c>
      <c r="I77" s="1">
        <v>110</v>
      </c>
      <c r="J77" s="1">
        <v>10</v>
      </c>
      <c r="K77" s="1">
        <v>1324</v>
      </c>
      <c r="M77" s="6">
        <f t="shared" si="17"/>
        <v>0.29127999999999998</v>
      </c>
      <c r="N77" s="5">
        <f t="shared" si="18"/>
        <v>8.1558399999999995</v>
      </c>
    </row>
    <row r="78" spans="1:14" x14ac:dyDescent="0.25">
      <c r="A78" s="43"/>
      <c r="B78" s="4" t="s">
        <v>287</v>
      </c>
      <c r="C78" s="2" t="str">
        <f t="shared" ref="C78" si="21">CONCATENATE("□",I78,"×",J78,"×",K78)</f>
        <v>□110×10×2462</v>
      </c>
      <c r="D78" s="2">
        <v>8</v>
      </c>
      <c r="E78" s="3">
        <f t="shared" ref="E78" si="22">IF(L78&gt;0,(L78*J78/1000000000*7850),(I78*J78*K78/1000000000*7850))</f>
        <v>21.259370000000001</v>
      </c>
      <c r="F78" s="3">
        <f t="shared" ref="F78" si="23">D78*E78</f>
        <v>170.07496</v>
      </c>
      <c r="I78" s="1">
        <v>110</v>
      </c>
      <c r="J78" s="1">
        <v>10</v>
      </c>
      <c r="K78" s="1">
        <v>2462</v>
      </c>
      <c r="M78" s="6">
        <f t="shared" ref="M78" si="24">IF(L78&gt;0,(L78*2/1000000),(I78*K78*2/1000000))</f>
        <v>0.54164000000000001</v>
      </c>
      <c r="N78" s="5">
        <f t="shared" ref="N78" si="25">D78*M78</f>
        <v>4.3331200000000001</v>
      </c>
    </row>
    <row r="79" spans="1:14" x14ac:dyDescent="0.25">
      <c r="A79" s="41" t="s">
        <v>290</v>
      </c>
      <c r="B79" s="4" t="s">
        <v>215</v>
      </c>
      <c r="C79" s="2" t="str">
        <f t="shared" si="20"/>
        <v>□3400×40×4000</v>
      </c>
      <c r="D79" s="2">
        <v>2</v>
      </c>
      <c r="E79" s="3">
        <f t="shared" si="5"/>
        <v>4270.4000000000005</v>
      </c>
      <c r="F79" s="3">
        <f t="shared" si="1"/>
        <v>8540.8000000000011</v>
      </c>
      <c r="I79" s="1">
        <v>3400</v>
      </c>
      <c r="J79" s="1">
        <v>40</v>
      </c>
      <c r="K79" s="1">
        <v>4000</v>
      </c>
      <c r="M79" s="6">
        <f t="shared" si="17"/>
        <v>27.2</v>
      </c>
      <c r="N79" s="5">
        <f t="shared" si="18"/>
        <v>54.4</v>
      </c>
    </row>
    <row r="80" spans="1:14" x14ac:dyDescent="0.25">
      <c r="A80" s="42"/>
      <c r="B80" s="4" t="s">
        <v>216</v>
      </c>
      <c r="C80" s="15" t="str">
        <f>CONCATENATE("□",I80,"×",J80,"×",K80,"(平均)")</f>
        <v>□834×28×1700(平均)</v>
      </c>
      <c r="D80" s="2">
        <v>6</v>
      </c>
      <c r="E80" s="16">
        <f t="shared" si="5"/>
        <v>209.56707087750002</v>
      </c>
      <c r="F80" s="3">
        <f t="shared" si="1"/>
        <v>1257.4024252650001</v>
      </c>
      <c r="I80" s="1">
        <v>834</v>
      </c>
      <c r="J80" s="1">
        <v>28</v>
      </c>
      <c r="K80" s="1">
        <v>1700</v>
      </c>
      <c r="L80" s="1">
        <f>919444.3625+20*1700</f>
        <v>953444.36250000005</v>
      </c>
      <c r="M80" s="6">
        <f t="shared" si="17"/>
        <v>1.9068887250000002</v>
      </c>
      <c r="N80" s="5">
        <f t="shared" si="18"/>
        <v>11.441332350000001</v>
      </c>
    </row>
    <row r="81" spans="1:14" x14ac:dyDescent="0.25">
      <c r="A81" s="42"/>
      <c r="B81" s="4" t="s">
        <v>217</v>
      </c>
      <c r="C81" s="15" t="str">
        <f>CONCATENATE("□",I81,"×",J81,"×",K81,"(平均)")</f>
        <v>□952×28×1700(平均)</v>
      </c>
      <c r="D81" s="2">
        <v>6</v>
      </c>
      <c r="E81" s="16">
        <f t="shared" si="5"/>
        <v>240.80587868862</v>
      </c>
      <c r="F81" s="3">
        <f t="shared" si="1"/>
        <v>1444.8352721317201</v>
      </c>
      <c r="I81" s="1">
        <v>952</v>
      </c>
      <c r="J81" s="1">
        <v>28</v>
      </c>
      <c r="K81" s="1">
        <v>1700</v>
      </c>
      <c r="L81" s="1">
        <f>1061568.1469+20*1700</f>
        <v>1095568.1469000001</v>
      </c>
      <c r="M81" s="6">
        <f t="shared" si="17"/>
        <v>2.1911362938000001</v>
      </c>
      <c r="N81" s="5">
        <f t="shared" si="18"/>
        <v>13.146817762800001</v>
      </c>
    </row>
    <row r="82" spans="1:14" x14ac:dyDescent="0.25">
      <c r="A82" s="42"/>
      <c r="B82" s="4" t="s">
        <v>218</v>
      </c>
      <c r="C82" s="15" t="str">
        <f>CONCATENATE("□",I82,"×",J82,"×",K82,"(平均)")</f>
        <v>□1107×28×2188(平均)</v>
      </c>
      <c r="D82" s="2">
        <v>8</v>
      </c>
      <c r="E82" s="16">
        <f t="shared" si="5"/>
        <v>436.81582911750002</v>
      </c>
      <c r="F82" s="3">
        <f t="shared" si="1"/>
        <v>3494.5266329400001</v>
      </c>
      <c r="I82" s="1">
        <v>1107</v>
      </c>
      <c r="J82" s="1">
        <v>28</v>
      </c>
      <c r="K82" s="1">
        <v>2188</v>
      </c>
      <c r="L82" s="1">
        <f>1943573.1625+2188*20</f>
        <v>1987333.1625000001</v>
      </c>
      <c r="M82" s="6">
        <f t="shared" si="17"/>
        <v>3.9746663250000003</v>
      </c>
      <c r="N82" s="5">
        <f t="shared" si="18"/>
        <v>31.797330600000002</v>
      </c>
    </row>
    <row r="83" spans="1:14" x14ac:dyDescent="0.25">
      <c r="A83" s="42"/>
      <c r="B83" s="4" t="s">
        <v>302</v>
      </c>
      <c r="C83" s="2" t="str">
        <f t="shared" ref="C83" si="26">CONCATENATE("□",I83,"×",J83,"×",K83)</f>
        <v>□300×36×648</v>
      </c>
      <c r="D83" s="2">
        <v>4</v>
      </c>
      <c r="E83" s="3">
        <f t="shared" ref="E83" si="27">IF(L83&gt;0,(L83*J83/1000000000*7850),(I83*J83*K83/1000000000*7850))</f>
        <v>54.937440000000002</v>
      </c>
      <c r="F83" s="3">
        <f t="shared" ref="F83" si="28">D83*E83</f>
        <v>219.74976000000001</v>
      </c>
      <c r="I83" s="1">
        <v>300</v>
      </c>
      <c r="J83" s="1">
        <v>36</v>
      </c>
      <c r="K83" s="1">
        <v>648</v>
      </c>
      <c r="M83" s="6">
        <f t="shared" ref="M83:M87" si="29">IF(L83&gt;0,(L83*2/1000000),(I83*K83*2/1000000))</f>
        <v>0.38879999999999998</v>
      </c>
      <c r="N83" s="5">
        <f t="shared" ref="N83:N87" si="30">D83*M83</f>
        <v>1.5551999999999999</v>
      </c>
    </row>
    <row r="84" spans="1:14" x14ac:dyDescent="0.25">
      <c r="A84" s="42"/>
      <c r="B84" s="4" t="s">
        <v>304</v>
      </c>
      <c r="C84" s="2" t="str">
        <f t="shared" ref="C84:C87" si="31">CONCATENATE("□",I84,"×",J84,"×",K84)</f>
        <v>□300×36×324</v>
      </c>
      <c r="D84" s="2">
        <v>4</v>
      </c>
      <c r="E84" s="3">
        <f t="shared" ref="E84:E87" si="32">IF(L84&gt;0,(L84*J84/1000000000*7850),(I84*J84*K84/1000000000*7850))</f>
        <v>27.468720000000001</v>
      </c>
      <c r="F84" s="3">
        <f t="shared" ref="F84:F87" si="33">D84*E84</f>
        <v>109.87488</v>
      </c>
      <c r="I84" s="1">
        <v>300</v>
      </c>
      <c r="J84" s="1">
        <v>36</v>
      </c>
      <c r="K84" s="1">
        <v>324</v>
      </c>
      <c r="M84" s="6">
        <f t="shared" si="29"/>
        <v>0.19439999999999999</v>
      </c>
      <c r="N84" s="5">
        <f t="shared" si="30"/>
        <v>0.77759999999999996</v>
      </c>
    </row>
    <row r="85" spans="1:14" x14ac:dyDescent="0.25">
      <c r="A85" s="42"/>
      <c r="B85" s="4" t="s">
        <v>305</v>
      </c>
      <c r="C85" s="2" t="str">
        <f t="shared" si="31"/>
        <v>□400×36×1000</v>
      </c>
      <c r="D85" s="2">
        <v>2</v>
      </c>
      <c r="E85" s="3">
        <f t="shared" si="32"/>
        <v>113.03999999999999</v>
      </c>
      <c r="F85" s="3">
        <f t="shared" si="33"/>
        <v>226.07999999999998</v>
      </c>
      <c r="I85" s="1">
        <v>400</v>
      </c>
      <c r="J85" s="1">
        <v>36</v>
      </c>
      <c r="K85" s="1">
        <v>1000</v>
      </c>
      <c r="M85" s="6">
        <f t="shared" si="29"/>
        <v>0.8</v>
      </c>
      <c r="N85" s="5">
        <f t="shared" si="30"/>
        <v>1.6</v>
      </c>
    </row>
    <row r="86" spans="1:14" x14ac:dyDescent="0.25">
      <c r="A86" s="42"/>
      <c r="B86" s="4" t="s">
        <v>303</v>
      </c>
      <c r="C86" s="2" t="str">
        <f t="shared" si="31"/>
        <v>□250×36×1000</v>
      </c>
      <c r="D86" s="2">
        <v>2</v>
      </c>
      <c r="E86" s="3">
        <f t="shared" si="32"/>
        <v>70.649999999999991</v>
      </c>
      <c r="F86" s="3">
        <f t="shared" si="33"/>
        <v>141.29999999999998</v>
      </c>
      <c r="I86" s="1">
        <v>250</v>
      </c>
      <c r="J86" s="1">
        <v>36</v>
      </c>
      <c r="K86" s="1">
        <v>1000</v>
      </c>
      <c r="M86" s="6">
        <f t="shared" si="29"/>
        <v>0.5</v>
      </c>
      <c r="N86" s="5">
        <f t="shared" si="30"/>
        <v>1</v>
      </c>
    </row>
    <row r="87" spans="1:14" x14ac:dyDescent="0.25">
      <c r="A87" s="43"/>
      <c r="B87" s="4" t="s">
        <v>306</v>
      </c>
      <c r="C87" s="2" t="str">
        <f t="shared" si="31"/>
        <v>□400×28×714</v>
      </c>
      <c r="D87" s="2">
        <v>10</v>
      </c>
      <c r="E87" s="3">
        <f t="shared" si="32"/>
        <v>60.302129999999998</v>
      </c>
      <c r="F87" s="3">
        <f t="shared" si="33"/>
        <v>603.0213</v>
      </c>
      <c r="I87" s="1">
        <v>400</v>
      </c>
      <c r="J87" s="1">
        <v>28</v>
      </c>
      <c r="K87" s="1">
        <v>714</v>
      </c>
      <c r="L87" s="1">
        <v>274350</v>
      </c>
      <c r="M87" s="6">
        <f t="shared" si="29"/>
        <v>0.54869999999999997</v>
      </c>
      <c r="N87" s="5">
        <f t="shared" si="30"/>
        <v>5.4870000000000001</v>
      </c>
    </row>
    <row r="88" spans="1:14" x14ac:dyDescent="0.25">
      <c r="A88" s="37" t="s">
        <v>221</v>
      </c>
      <c r="B88" s="4" t="s">
        <v>67</v>
      </c>
      <c r="C88" s="2" t="str">
        <f>CONCATENATE("□",I88,"×",J88,"×",K88)</f>
        <v>□261×16×24500</v>
      </c>
      <c r="D88" s="2">
        <v>1</v>
      </c>
      <c r="E88" s="3">
        <f t="shared" si="5"/>
        <v>803.14919999999995</v>
      </c>
      <c r="F88" s="3">
        <f t="shared" si="1"/>
        <v>803.14919999999995</v>
      </c>
      <c r="I88" s="1">
        <v>261</v>
      </c>
      <c r="J88" s="1">
        <v>16</v>
      </c>
      <c r="K88" s="1">
        <f>12250*2</f>
        <v>24500</v>
      </c>
      <c r="M88" s="6">
        <f t="shared" si="17"/>
        <v>12.789</v>
      </c>
      <c r="N88" s="5">
        <f t="shared" si="18"/>
        <v>12.789</v>
      </c>
    </row>
    <row r="89" spans="1:14" x14ac:dyDescent="0.25">
      <c r="A89" s="38"/>
      <c r="B89" s="4" t="s">
        <v>219</v>
      </c>
      <c r="C89" s="2" t="str">
        <f>CONCATENATE("□",I89,"×",J89,"×",K89)</f>
        <v>□370×16×24500</v>
      </c>
      <c r="D89" s="2">
        <v>1</v>
      </c>
      <c r="E89" s="3">
        <f t="shared" si="5"/>
        <v>1138.5640000000001</v>
      </c>
      <c r="F89" s="3">
        <f t="shared" si="1"/>
        <v>1138.5640000000001</v>
      </c>
      <c r="I89" s="1">
        <v>370</v>
      </c>
      <c r="J89" s="1">
        <v>16</v>
      </c>
      <c r="K89" s="1">
        <f>12250*2</f>
        <v>24500</v>
      </c>
      <c r="M89" s="6">
        <f t="shared" si="17"/>
        <v>18.13</v>
      </c>
      <c r="N89" s="5">
        <f t="shared" si="18"/>
        <v>18.13</v>
      </c>
    </row>
    <row r="90" spans="1:14" x14ac:dyDescent="0.25">
      <c r="A90" s="38"/>
      <c r="B90" s="4" t="s">
        <v>220</v>
      </c>
      <c r="C90" s="2" t="str">
        <f>CONCATENATE("□",I90,"×",J90,"×",K90)</f>
        <v>□261×16×370</v>
      </c>
      <c r="D90" s="2">
        <v>2</v>
      </c>
      <c r="E90" s="3">
        <f t="shared" si="5"/>
        <v>12.129192000000002</v>
      </c>
      <c r="F90" s="3">
        <f t="shared" si="1"/>
        <v>24.258384000000003</v>
      </c>
      <c r="I90" s="1">
        <v>261</v>
      </c>
      <c r="J90" s="1">
        <v>16</v>
      </c>
      <c r="K90" s="1">
        <v>370</v>
      </c>
      <c r="M90" s="6">
        <f t="shared" si="17"/>
        <v>0.19314000000000001</v>
      </c>
      <c r="N90" s="5">
        <f t="shared" si="18"/>
        <v>0.38628000000000001</v>
      </c>
    </row>
    <row r="91" spans="1:14" x14ac:dyDescent="0.25">
      <c r="A91" s="39"/>
      <c r="B91" s="4" t="s">
        <v>286</v>
      </c>
      <c r="C91" s="2" t="str">
        <f>CONCATENATE("□",I91,"×",J91,"×",K91)</f>
        <v>□138×16×150</v>
      </c>
      <c r="D91" s="2">
        <v>68</v>
      </c>
      <c r="E91" s="3">
        <f t="shared" ref="E91" si="34">IF(L91&gt;0,(L91*J91/1000000000*7850),(I91*J91*K91/1000000000*7850))</f>
        <v>1.80209463232</v>
      </c>
      <c r="F91" s="3">
        <f t="shared" ref="F91" si="35">D91*E91</f>
        <v>122.54243499776</v>
      </c>
      <c r="I91" s="1">
        <v>138</v>
      </c>
      <c r="J91" s="1">
        <v>16</v>
      </c>
      <c r="K91" s="1">
        <v>150</v>
      </c>
      <c r="L91" s="1">
        <v>14347.887199999999</v>
      </c>
      <c r="M91" s="6">
        <f t="shared" si="17"/>
        <v>2.8695774399999999E-2</v>
      </c>
      <c r="N91" s="5">
        <f t="shared" si="18"/>
        <v>1.9513126591999999</v>
      </c>
    </row>
    <row r="92" spans="1:14" x14ac:dyDescent="0.25">
      <c r="A92" s="37"/>
      <c r="B92" s="34" t="s">
        <v>23</v>
      </c>
      <c r="C92" s="34"/>
      <c r="D92" s="34"/>
      <c r="E92" s="34"/>
      <c r="F92" s="7">
        <f>SUM(F6:F91)</f>
        <v>480583.87813223852</v>
      </c>
    </row>
    <row r="93" spans="1:14" x14ac:dyDescent="0.25">
      <c r="A93" s="38"/>
      <c r="B93" s="34" t="s">
        <v>26</v>
      </c>
      <c r="C93" s="34"/>
      <c r="D93" s="34"/>
      <c r="E93" s="34"/>
      <c r="F93" s="8">
        <f>F92*0.015</f>
        <v>7208.7581719835771</v>
      </c>
    </row>
    <row r="94" spans="1:14" x14ac:dyDescent="0.25">
      <c r="A94" s="39"/>
      <c r="B94" s="34" t="s">
        <v>24</v>
      </c>
      <c r="C94" s="34"/>
      <c r="D94" s="34"/>
      <c r="E94" s="34"/>
      <c r="F94" s="7">
        <f>F92+F93</f>
        <v>487792.63630422211</v>
      </c>
    </row>
    <row r="102" spans="2:4" x14ac:dyDescent="0.25">
      <c r="B102" s="34" t="s">
        <v>98</v>
      </c>
      <c r="C102" s="4" t="s">
        <v>102</v>
      </c>
      <c r="D102" s="4" t="s">
        <v>99</v>
      </c>
    </row>
    <row r="103" spans="2:4" x14ac:dyDescent="0.25">
      <c r="B103" s="34"/>
      <c r="C103" s="4" t="s">
        <v>95</v>
      </c>
      <c r="D103" s="4" t="s">
        <v>113</v>
      </c>
    </row>
    <row r="104" spans="2:4" x14ac:dyDescent="0.25">
      <c r="B104" s="34" t="s">
        <v>103</v>
      </c>
      <c r="C104" s="4" t="s">
        <v>104</v>
      </c>
      <c r="D104" s="8">
        <f>SUMIF($J$6:$J$91,"10",$F$6:$F$91)</f>
        <v>7135.6154600000009</v>
      </c>
    </row>
    <row r="105" spans="2:4" x14ac:dyDescent="0.25">
      <c r="B105" s="34"/>
      <c r="C105" s="4" t="s">
        <v>105</v>
      </c>
      <c r="D105" s="8">
        <f>SUMIF($J$6:$J$91,"12",$F$6:$F$91)</f>
        <v>84542.497979966254</v>
      </c>
    </row>
    <row r="106" spans="2:4" x14ac:dyDescent="0.25">
      <c r="B106" s="34"/>
      <c r="C106" s="4" t="s">
        <v>106</v>
      </c>
      <c r="D106" s="8">
        <f>SUMIF($J$6:$J$91,"14",$F$6:$F$91)</f>
        <v>22537.131895600003</v>
      </c>
    </row>
    <row r="107" spans="2:4" x14ac:dyDescent="0.25">
      <c r="B107" s="34"/>
      <c r="C107" s="4" t="s">
        <v>107</v>
      </c>
      <c r="D107" s="8">
        <f>SUMIF($J$6:$J$91,"16",$F$6:$F$91)</f>
        <v>139790.22860055725</v>
      </c>
    </row>
    <row r="108" spans="2:4" x14ac:dyDescent="0.25">
      <c r="B108" s="34"/>
      <c r="C108" s="4" t="s">
        <v>108</v>
      </c>
      <c r="D108" s="8">
        <f>SUMIF($J$6:$J$91,"24",$F$6:$F$91)</f>
        <v>19492.568261563079</v>
      </c>
    </row>
    <row r="109" spans="2:4" x14ac:dyDescent="0.25">
      <c r="B109" s="34"/>
      <c r="C109" s="4" t="s">
        <v>109</v>
      </c>
      <c r="D109" s="8">
        <f>SUMIF($J$6:$J$91,"28",$F$6:$F$91)</f>
        <v>36949.383408188725</v>
      </c>
    </row>
    <row r="110" spans="2:4" x14ac:dyDescent="0.25">
      <c r="B110" s="34"/>
      <c r="C110" s="4" t="s">
        <v>224</v>
      </c>
      <c r="D110" s="8">
        <f>SUMIF($J$6:$J$91,"36",$F$6:$F$91)</f>
        <v>88442.514124211899</v>
      </c>
    </row>
    <row r="111" spans="2:4" x14ac:dyDescent="0.25">
      <c r="B111" s="34"/>
      <c r="C111" s="4" t="s">
        <v>225</v>
      </c>
      <c r="D111" s="8">
        <f>SUMIF($J$6:$J$91,"40",$F$6:$F$91)</f>
        <v>81156.925830471198</v>
      </c>
    </row>
    <row r="112" spans="2:4" x14ac:dyDescent="0.25">
      <c r="B112" s="34"/>
      <c r="C112" s="4" t="s">
        <v>111</v>
      </c>
      <c r="D112" s="8">
        <f>SUMIF($J$6:$J$91,"8",$F$6:$F$91)</f>
        <v>537.01257168000006</v>
      </c>
    </row>
    <row r="113" spans="2:4" x14ac:dyDescent="0.25">
      <c r="B113" s="34"/>
      <c r="C113" s="4" t="s">
        <v>112</v>
      </c>
      <c r="D113" s="8">
        <f>SUM(D104:D112)</f>
        <v>480583.87813223846</v>
      </c>
    </row>
    <row r="114" spans="2:4" x14ac:dyDescent="0.25">
      <c r="B114" s="34"/>
      <c r="C114" s="4" t="s">
        <v>114</v>
      </c>
      <c r="D114" s="8">
        <f>D113*0.015</f>
        <v>7208.7581719835771</v>
      </c>
    </row>
    <row r="115" spans="2:4" x14ac:dyDescent="0.25">
      <c r="B115" s="34"/>
      <c r="C115" s="4" t="s">
        <v>115</v>
      </c>
      <c r="D115" s="7">
        <f>D113+D114</f>
        <v>487792.63630422205</v>
      </c>
    </row>
    <row r="116" spans="2:4" x14ac:dyDescent="0.25">
      <c r="B116" s="34" t="s">
        <v>25</v>
      </c>
      <c r="C116" s="4" t="s">
        <v>116</v>
      </c>
      <c r="D116" s="7">
        <f>SUM(N6:N90)-D117</f>
        <v>4005.5037422203018</v>
      </c>
    </row>
    <row r="117" spans="2:4" x14ac:dyDescent="0.25">
      <c r="B117" s="34"/>
      <c r="C117" s="4" t="s">
        <v>117</v>
      </c>
      <c r="D117" s="8">
        <f>(N6+N12+N17+N18)/2+(N6/2)*0.6815+N10+N31+SUM(N65:N71)</f>
        <v>2291.8353923277041</v>
      </c>
    </row>
  </sheetData>
  <mergeCells count="16">
    <mergeCell ref="A75:A78"/>
    <mergeCell ref="A88:A91"/>
    <mergeCell ref="A65:A74"/>
    <mergeCell ref="M5:N5"/>
    <mergeCell ref="A6:A9"/>
    <mergeCell ref="A10:A16"/>
    <mergeCell ref="A17:A30"/>
    <mergeCell ref="A31:A64"/>
    <mergeCell ref="A79:A87"/>
    <mergeCell ref="B102:B103"/>
    <mergeCell ref="B104:B115"/>
    <mergeCell ref="B116:B117"/>
    <mergeCell ref="A92:A94"/>
    <mergeCell ref="B92:E92"/>
    <mergeCell ref="B93:E93"/>
    <mergeCell ref="B94:E9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81F3-5CAF-4949-8D7A-ADDCD3506675}">
  <dimension ref="A4:P103"/>
  <sheetViews>
    <sheetView topLeftCell="A49" workbookViewId="0">
      <selection activeCell="A51" sqref="A51:F76"/>
    </sheetView>
  </sheetViews>
  <sheetFormatPr defaultColWidth="9" defaultRowHeight="13.8" x14ac:dyDescent="0.25"/>
  <cols>
    <col min="1" max="1" width="9" style="1"/>
    <col min="2" max="2" width="10.77734375" style="1" customWidth="1"/>
    <col min="3" max="3" width="23.44140625" style="1" customWidth="1"/>
    <col min="4" max="4" width="11" style="1" customWidth="1"/>
    <col min="5" max="5" width="13.109375" style="1" customWidth="1"/>
    <col min="6" max="6" width="9.44140625" style="1" bestFit="1" customWidth="1"/>
    <col min="7" max="8" width="9.109375" style="1" bestFit="1" customWidth="1"/>
    <col min="9" max="9" width="9.88671875" style="1" bestFit="1" customWidth="1"/>
    <col min="10" max="10" width="9" style="1"/>
    <col min="11" max="11" width="9.88671875" style="1" customWidth="1"/>
    <col min="12" max="13" width="11.6640625" style="1" bestFit="1" customWidth="1"/>
    <col min="14" max="16384" width="9" style="1"/>
  </cols>
  <sheetData>
    <row r="4" spans="1:16" x14ac:dyDescent="0.25">
      <c r="A4" s="45" t="s">
        <v>275</v>
      </c>
      <c r="B4" s="45"/>
      <c r="C4" s="45"/>
      <c r="D4" s="45"/>
      <c r="E4" s="45"/>
      <c r="F4" s="45"/>
    </row>
    <row r="5" spans="1:16" ht="13.5" customHeight="1" x14ac:dyDescent="0.25">
      <c r="A5" s="4" t="s">
        <v>177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I5" s="1" t="s">
        <v>6</v>
      </c>
      <c r="J5" s="1" t="s">
        <v>7</v>
      </c>
      <c r="K5" s="1" t="s">
        <v>8</v>
      </c>
      <c r="L5" s="1" t="s">
        <v>9</v>
      </c>
      <c r="M5" s="36" t="s">
        <v>25</v>
      </c>
      <c r="N5" s="36"/>
    </row>
    <row r="6" spans="1:16" x14ac:dyDescent="0.25">
      <c r="A6" s="4" t="s">
        <v>176</v>
      </c>
      <c r="B6" s="2" t="s">
        <v>257</v>
      </c>
      <c r="C6" s="2" t="str">
        <f t="shared" ref="C6:C13" si="0">CONCATENATE("□",I6,"×",J6,"×",K6)</f>
        <v>□7057×40×1753</v>
      </c>
      <c r="D6" s="2">
        <v>2</v>
      </c>
      <c r="E6" s="3">
        <f>IF(L6&gt;0,(L6*J6/1000000000*7850),(I6*J6*K6/1000000000*7850))</f>
        <v>3698.6249487381997</v>
      </c>
      <c r="F6" s="3">
        <f t="shared" ref="F6:F23" si="1">D6*E6</f>
        <v>7397.2498974763994</v>
      </c>
      <c r="I6" s="1">
        <v>7057</v>
      </c>
      <c r="J6" s="1">
        <v>40</v>
      </c>
      <c r="K6" s="5">
        <v>1753</v>
      </c>
      <c r="L6" s="1">
        <v>11779060.3463</v>
      </c>
      <c r="M6" s="6">
        <f>IF(L6&gt;0,(L6*2/1000000),(I6*K6*2/1000000))</f>
        <v>23.558120692599999</v>
      </c>
      <c r="N6" s="5">
        <f t="shared" ref="N6:N27" si="2">D6*M6</f>
        <v>47.116241385199999</v>
      </c>
      <c r="P6" s="5"/>
    </row>
    <row r="7" spans="1:16" x14ac:dyDescent="0.25">
      <c r="A7" s="4" t="s">
        <v>175</v>
      </c>
      <c r="B7" s="4" t="s">
        <v>258</v>
      </c>
      <c r="C7" s="2" t="str">
        <f t="shared" si="0"/>
        <v>□1753×60×1331</v>
      </c>
      <c r="D7" s="2">
        <v>2</v>
      </c>
      <c r="E7" s="3">
        <f>IF(L7&gt;0,(L7*J7/1000000000*7850),(I7*J7*K7/1000000000*7850))</f>
        <v>852.19447785360001</v>
      </c>
      <c r="F7" s="3">
        <f t="shared" si="1"/>
        <v>1704.3889557072</v>
      </c>
      <c r="I7" s="1">
        <v>1753</v>
      </c>
      <c r="J7" s="1">
        <v>60</v>
      </c>
      <c r="K7" s="5">
        <v>1331</v>
      </c>
      <c r="L7" s="1">
        <v>1809330.1015999999</v>
      </c>
      <c r="M7" s="6">
        <f t="shared" ref="M7:M27" si="3">IF(L7&gt;0,(L7*2/1000000),(I7*K7*2/1000000))</f>
        <v>3.6186602031999997</v>
      </c>
      <c r="N7" s="5">
        <f t="shared" si="2"/>
        <v>7.2373204063999994</v>
      </c>
      <c r="P7" s="5"/>
    </row>
    <row r="8" spans="1:16" ht="15.6" customHeight="1" x14ac:dyDescent="0.25">
      <c r="A8" s="37" t="s">
        <v>174</v>
      </c>
      <c r="B8" s="4" t="s">
        <v>260</v>
      </c>
      <c r="C8" s="2" t="str">
        <f t="shared" ref="C8" si="4">CONCATENATE("□",I8,"×",J8,"×",K8)</f>
        <v>□7031×50×1870</v>
      </c>
      <c r="D8" s="2">
        <v>2</v>
      </c>
      <c r="E8" s="3">
        <f>IF(L8&gt;0,(L8*J8/1000000000*7850),(I8*J8*K8/1000000000*7850))</f>
        <v>4161.8991220635007</v>
      </c>
      <c r="F8" s="3">
        <f t="shared" si="1"/>
        <v>8323.7982441270015</v>
      </c>
      <c r="I8" s="1">
        <v>7031</v>
      </c>
      <c r="J8" s="1">
        <v>50</v>
      </c>
      <c r="K8" s="5">
        <v>1870</v>
      </c>
      <c r="L8" s="1">
        <v>10603564.642200001</v>
      </c>
      <c r="M8" s="6">
        <f t="shared" si="3"/>
        <v>21.207129284400001</v>
      </c>
      <c r="N8" s="5">
        <f t="shared" si="2"/>
        <v>42.414258568800001</v>
      </c>
      <c r="P8" s="5"/>
    </row>
    <row r="9" spans="1:16" x14ac:dyDescent="0.25">
      <c r="A9" s="38"/>
      <c r="B9" s="4" t="s">
        <v>261</v>
      </c>
      <c r="C9" s="2" t="str">
        <f t="shared" ref="C9" si="5">CONCATENATE("□",I9,"×",J9,"×",K9)</f>
        <v>□4313×50×1870</v>
      </c>
      <c r="D9" s="2">
        <v>2</v>
      </c>
      <c r="E9" s="3">
        <f>IF(L9&gt;0,(L9*J9/1000000000*7850),(I9*J9*K9/1000000000*7850))</f>
        <v>2046.4961572470002</v>
      </c>
      <c r="F9" s="3">
        <f t="shared" ref="F9" si="6">D9*E9</f>
        <v>4092.9923144940003</v>
      </c>
      <c r="I9" s="1">
        <v>4313</v>
      </c>
      <c r="J9" s="1">
        <v>50</v>
      </c>
      <c r="K9" s="5">
        <v>1870</v>
      </c>
      <c r="L9" s="1">
        <v>5214002.9484000001</v>
      </c>
      <c r="M9" s="6">
        <f t="shared" si="3"/>
        <v>10.4280058968</v>
      </c>
      <c r="N9" s="5">
        <f t="shared" si="2"/>
        <v>20.8560117936</v>
      </c>
      <c r="P9" s="5"/>
    </row>
    <row r="10" spans="1:16" x14ac:dyDescent="0.25">
      <c r="A10" s="38"/>
      <c r="B10" s="4" t="s">
        <v>262</v>
      </c>
      <c r="C10" s="2" t="str">
        <f t="shared" si="0"/>
        <v>□6502×50×1870</v>
      </c>
      <c r="D10" s="2">
        <v>2</v>
      </c>
      <c r="E10" s="3">
        <f t="shared" ref="E10:E18" si="7">IF(L10&gt;0,(L10*J10/1000000000*7850),(I10*J10*K10/1000000000*7850))</f>
        <v>3648.3329115435004</v>
      </c>
      <c r="F10" s="3">
        <f t="shared" si="1"/>
        <v>7296.6658230870007</v>
      </c>
      <c r="I10" s="1">
        <v>6502</v>
      </c>
      <c r="J10" s="1">
        <v>50</v>
      </c>
      <c r="K10" s="5">
        <v>1870</v>
      </c>
      <c r="L10" s="1">
        <v>9295115.6982000005</v>
      </c>
      <c r="M10" s="6">
        <f t="shared" si="3"/>
        <v>18.5902313964</v>
      </c>
      <c r="N10" s="5">
        <f t="shared" si="2"/>
        <v>37.1804627928</v>
      </c>
      <c r="P10" s="5"/>
    </row>
    <row r="11" spans="1:16" x14ac:dyDescent="0.25">
      <c r="A11" s="38"/>
      <c r="B11" s="4" t="s">
        <v>263</v>
      </c>
      <c r="C11" s="2" t="str">
        <f>CONCATENATE("□",I11,"×",J11,"×",K11)</f>
        <v>□11870×50×3448</v>
      </c>
      <c r="D11" s="2">
        <v>2</v>
      </c>
      <c r="E11" s="3">
        <f>IF(L11&gt;0,(L11*J11/1000000000*7850),(I11*J11*K11/1000000000*7850))</f>
        <v>1538.0857195744998</v>
      </c>
      <c r="F11" s="3">
        <f>D11*E11</f>
        <v>3076.1714391489995</v>
      </c>
      <c r="I11" s="1">
        <v>11870</v>
      </c>
      <c r="J11" s="1">
        <v>50</v>
      </c>
      <c r="K11" s="5">
        <v>3448</v>
      </c>
      <c r="L11" s="1">
        <v>3918689.7313999999</v>
      </c>
      <c r="M11" s="6">
        <f t="shared" si="3"/>
        <v>7.8373794627999995</v>
      </c>
      <c r="N11" s="5">
        <f t="shared" si="2"/>
        <v>15.674758925599999</v>
      </c>
      <c r="P11" s="5"/>
    </row>
    <row r="12" spans="1:16" x14ac:dyDescent="0.25">
      <c r="A12" s="39"/>
      <c r="B12" s="4" t="s">
        <v>299</v>
      </c>
      <c r="C12" s="2" t="str">
        <f>CONCATENATE("□",I12,"×",J12,"×",K12)</f>
        <v>□6767×40×3627</v>
      </c>
      <c r="D12" s="2">
        <v>2</v>
      </c>
      <c r="E12" s="3">
        <f>IF(L12&gt;0,(L12*J12/1000000000*7850),(I12*J12*K12/1000000000*7850))</f>
        <v>3987.1144924386003</v>
      </c>
      <c r="F12" s="3">
        <f>D12*E12</f>
        <v>7974.2289848772007</v>
      </c>
      <c r="I12" s="1">
        <v>6767</v>
      </c>
      <c r="J12" s="1">
        <v>40</v>
      </c>
      <c r="K12" s="5">
        <v>3627</v>
      </c>
      <c r="L12" s="1">
        <v>12697816.854900001</v>
      </c>
      <c r="M12" s="6">
        <f t="shared" ref="M12" si="8">IF(L12&gt;0,(L12*2/1000000),(I12*K12*2/1000000))</f>
        <v>25.395633709800002</v>
      </c>
      <c r="N12" s="5">
        <f t="shared" ref="N12" si="9">D12*M12</f>
        <v>50.791267419600004</v>
      </c>
      <c r="P12" s="5"/>
    </row>
    <row r="13" spans="1:16" x14ac:dyDescent="0.25">
      <c r="A13" s="37" t="s">
        <v>264</v>
      </c>
      <c r="B13" s="2" t="s">
        <v>265</v>
      </c>
      <c r="C13" s="2" t="str">
        <f t="shared" si="0"/>
        <v>□3640×24×2639</v>
      </c>
      <c r="D13" s="2">
        <v>4</v>
      </c>
      <c r="E13" s="3">
        <f t="shared" si="7"/>
        <v>522.90540869903998</v>
      </c>
      <c r="F13" s="3">
        <f t="shared" si="1"/>
        <v>2091.6216347961599</v>
      </c>
      <c r="I13" s="1">
        <v>3640</v>
      </c>
      <c r="J13" s="1">
        <v>24</v>
      </c>
      <c r="K13" s="5">
        <v>2639</v>
      </c>
      <c r="L13" s="1">
        <v>2775506.4155999999</v>
      </c>
      <c r="M13" s="6">
        <f t="shared" si="3"/>
        <v>5.5510128311999996</v>
      </c>
      <c r="N13" s="5">
        <f t="shared" si="2"/>
        <v>22.204051324799998</v>
      </c>
      <c r="P13" s="5"/>
    </row>
    <row r="14" spans="1:16" x14ac:dyDescent="0.25">
      <c r="A14" s="38"/>
      <c r="B14" s="2" t="s">
        <v>266</v>
      </c>
      <c r="C14" s="2" t="str">
        <f t="shared" ref="C14" si="10">CONCATENATE("□",I14,"×",J14,"×",K14)</f>
        <v>□2695×24×1230</v>
      </c>
      <c r="D14" s="2">
        <v>2</v>
      </c>
      <c r="E14" s="3">
        <f t="shared" ref="E14" si="11">IF(L14&gt;0,(L14*J14/1000000000*7850),(I14*J14*K14/1000000000*7850))</f>
        <v>362.69858628996002</v>
      </c>
      <c r="F14" s="3">
        <f t="shared" si="1"/>
        <v>725.39717257992004</v>
      </c>
      <c r="I14" s="1">
        <v>2695</v>
      </c>
      <c r="J14" s="1">
        <v>24</v>
      </c>
      <c r="K14" s="5">
        <v>1230</v>
      </c>
      <c r="L14" s="1">
        <v>1925151.7319</v>
      </c>
      <c r="M14" s="6">
        <f t="shared" si="3"/>
        <v>3.8503034638</v>
      </c>
      <c r="N14" s="5">
        <f t="shared" si="2"/>
        <v>7.7006069276</v>
      </c>
      <c r="P14" s="5"/>
    </row>
    <row r="15" spans="1:16" x14ac:dyDescent="0.25">
      <c r="A15" s="38"/>
      <c r="B15" s="2" t="s">
        <v>295</v>
      </c>
      <c r="C15" s="2" t="str">
        <f t="shared" ref="C15" si="12">CONCATENATE("□",I15,"×",J15,"×",K15)</f>
        <v>□2912×24×1230</v>
      </c>
      <c r="D15" s="2">
        <v>2</v>
      </c>
      <c r="E15" s="3">
        <f t="shared" ref="E15" si="13">IF(L15&gt;0,(L15*J15/1000000000*7850),(I15*J15*K15/1000000000*7850))</f>
        <v>389.75006334744</v>
      </c>
      <c r="F15" s="3">
        <f t="shared" ref="F15" si="14">D15*E15</f>
        <v>779.50012669488001</v>
      </c>
      <c r="I15" s="1">
        <v>2912</v>
      </c>
      <c r="J15" s="1">
        <v>24</v>
      </c>
      <c r="K15" s="5">
        <v>1230</v>
      </c>
      <c r="L15" s="1">
        <v>2068737.0666</v>
      </c>
      <c r="M15" s="6">
        <f t="shared" si="3"/>
        <v>4.1374741332000005</v>
      </c>
      <c r="N15" s="5">
        <f t="shared" si="2"/>
        <v>8.2749482664000009</v>
      </c>
      <c r="P15" s="5"/>
    </row>
    <row r="16" spans="1:16" x14ac:dyDescent="0.25">
      <c r="A16" s="38"/>
      <c r="B16" s="2" t="s">
        <v>267</v>
      </c>
      <c r="C16" s="26" t="str">
        <f t="shared" ref="C16:C21" si="15">CONCATENATE("□",I16,"×",J16,"×",K16)</f>
        <v>□2022×24×1218</v>
      </c>
      <c r="D16" s="2">
        <v>2</v>
      </c>
      <c r="E16" s="3">
        <f t="shared" si="7"/>
        <v>257.70338381388001</v>
      </c>
      <c r="F16" s="3">
        <f t="shared" si="1"/>
        <v>515.40676762776002</v>
      </c>
      <c r="I16" s="1">
        <v>2022</v>
      </c>
      <c r="J16" s="1">
        <v>24</v>
      </c>
      <c r="K16" s="5">
        <v>1218</v>
      </c>
      <c r="L16" s="1">
        <v>1367852.3557</v>
      </c>
      <c r="M16" s="6">
        <f t="shared" si="3"/>
        <v>2.7357047113999999</v>
      </c>
      <c r="N16" s="5">
        <f t="shared" si="2"/>
        <v>5.4714094227999999</v>
      </c>
      <c r="P16" s="5"/>
    </row>
    <row r="17" spans="1:16" x14ac:dyDescent="0.25">
      <c r="A17" s="38"/>
      <c r="B17" s="2" t="s">
        <v>296</v>
      </c>
      <c r="C17" s="26" t="str">
        <f t="shared" si="15"/>
        <v>□2275×24×1218</v>
      </c>
      <c r="D17" s="2">
        <v>2</v>
      </c>
      <c r="E17" s="3">
        <f t="shared" ref="E17" si="16">IF(L17&gt;0,(L17*J17/1000000000*7850),(I17*J17*K17/1000000000*7850))</f>
        <v>298.69756199399995</v>
      </c>
      <c r="F17" s="3">
        <f t="shared" ref="F17" si="17">D17*E17</f>
        <v>597.39512398799991</v>
      </c>
      <c r="I17" s="1">
        <v>2275</v>
      </c>
      <c r="J17" s="1">
        <v>24</v>
      </c>
      <c r="K17" s="5">
        <v>1218</v>
      </c>
      <c r="L17" s="1">
        <v>1585443.5349999999</v>
      </c>
      <c r="M17" s="6">
        <f t="shared" si="3"/>
        <v>3.17088707</v>
      </c>
      <c r="N17" s="5">
        <f t="shared" si="2"/>
        <v>6.3417741400000001</v>
      </c>
      <c r="P17" s="5"/>
    </row>
    <row r="18" spans="1:16" ht="13.95" customHeight="1" x14ac:dyDescent="0.25">
      <c r="A18" s="38"/>
      <c r="B18" s="2" t="s">
        <v>268</v>
      </c>
      <c r="C18" s="26" t="str">
        <f t="shared" si="15"/>
        <v>□1037×24×1212</v>
      </c>
      <c r="D18" s="2">
        <v>2</v>
      </c>
      <c r="E18" s="3">
        <f t="shared" si="7"/>
        <v>136.03056147923999</v>
      </c>
      <c r="F18" s="3">
        <f t="shared" si="1"/>
        <v>272.06112295847998</v>
      </c>
      <c r="I18" s="1">
        <v>1037</v>
      </c>
      <c r="J18" s="1">
        <v>24</v>
      </c>
      <c r="K18" s="5">
        <v>1212</v>
      </c>
      <c r="L18" s="1">
        <v>722030.58109999995</v>
      </c>
      <c r="M18" s="6">
        <f t="shared" si="3"/>
        <v>1.4440611621999999</v>
      </c>
      <c r="N18" s="5">
        <f t="shared" si="2"/>
        <v>2.8881223243999998</v>
      </c>
      <c r="P18" s="5"/>
    </row>
    <row r="19" spans="1:16" ht="13.95" customHeight="1" x14ac:dyDescent="0.25">
      <c r="A19" s="38"/>
      <c r="B19" s="2" t="s">
        <v>297</v>
      </c>
      <c r="C19" s="26" t="str">
        <f t="shared" si="15"/>
        <v>□1161×24×1573</v>
      </c>
      <c r="D19" s="2">
        <v>2</v>
      </c>
      <c r="E19" s="3">
        <f t="shared" ref="E19" si="18">IF(L19&gt;0,(L19*J19/1000000000*7850),(I19*J19*K19/1000000000*7850))</f>
        <v>168.65666535084</v>
      </c>
      <c r="F19" s="3">
        <f t="shared" ref="F19" si="19">D19*E19</f>
        <v>337.31333070168</v>
      </c>
      <c r="I19" s="1">
        <v>1161</v>
      </c>
      <c r="J19" s="1">
        <v>24</v>
      </c>
      <c r="K19" s="5">
        <v>1573</v>
      </c>
      <c r="L19" s="1">
        <v>895205.23010000004</v>
      </c>
      <c r="M19" s="6">
        <f t="shared" ref="M19:M21" si="20">IF(L19&gt;0,(L19*2/1000000),(I19*K19*2/1000000))</f>
        <v>1.7904104602000002</v>
      </c>
      <c r="N19" s="5">
        <f t="shared" ref="N19:N21" si="21">D19*M19</f>
        <v>3.5808209204000003</v>
      </c>
      <c r="P19" s="5"/>
    </row>
    <row r="20" spans="1:16" x14ac:dyDescent="0.25">
      <c r="A20" s="38"/>
      <c r="B20" s="2" t="s">
        <v>269</v>
      </c>
      <c r="C20" s="26" t="str">
        <f t="shared" si="15"/>
        <v>□822×24×920</v>
      </c>
      <c r="D20" s="2">
        <v>2</v>
      </c>
      <c r="E20" s="3">
        <f>IF(L20&gt;0,(L20*J20/1000000000*7850),(I20*J20*K20/1000000000*7850))</f>
        <v>147.88310405556001</v>
      </c>
      <c r="F20" s="3">
        <f>D20*E20</f>
        <v>295.76620811112002</v>
      </c>
      <c r="I20" s="1">
        <v>822</v>
      </c>
      <c r="J20" s="1">
        <v>24</v>
      </c>
      <c r="K20" s="5">
        <v>920</v>
      </c>
      <c r="L20" s="1">
        <v>784942.16590000002</v>
      </c>
      <c r="M20" s="6">
        <f t="shared" si="20"/>
        <v>1.5698843318</v>
      </c>
      <c r="N20" s="5">
        <f t="shared" si="21"/>
        <v>3.1397686636</v>
      </c>
      <c r="P20" s="5"/>
    </row>
    <row r="21" spans="1:16" x14ac:dyDescent="0.25">
      <c r="A21" s="39"/>
      <c r="B21" s="2" t="s">
        <v>298</v>
      </c>
      <c r="C21" s="26" t="str">
        <f t="shared" si="15"/>
        <v>□1031×24×1057</v>
      </c>
      <c r="D21" s="2">
        <v>2</v>
      </c>
      <c r="E21" s="3">
        <f>IF(L21&gt;0,(L21*J21/1000000000*7850),(I21*J21*K21/1000000000*7850))</f>
        <v>205.31210279999999</v>
      </c>
      <c r="F21" s="3">
        <f>D21*E21</f>
        <v>410.62420559999998</v>
      </c>
      <c r="I21" s="1">
        <v>1031</v>
      </c>
      <c r="J21" s="1">
        <v>24</v>
      </c>
      <c r="K21" s="5">
        <v>1057</v>
      </c>
      <c r="M21" s="6">
        <f t="shared" si="20"/>
        <v>2.1795339999999999</v>
      </c>
      <c r="N21" s="5">
        <f t="shared" si="21"/>
        <v>4.3590679999999997</v>
      </c>
      <c r="P21" s="5"/>
    </row>
    <row r="22" spans="1:16" x14ac:dyDescent="0.25">
      <c r="A22" s="37" t="s">
        <v>259</v>
      </c>
      <c r="B22" s="4" t="s">
        <v>270</v>
      </c>
      <c r="C22" s="15" t="str">
        <f>CONCATENATE("□",I22,"×",J22,"×",K22,"(平均)")</f>
        <v>□1700×24×240(平均)</v>
      </c>
      <c r="D22" s="2">
        <v>20</v>
      </c>
      <c r="E22" s="16">
        <f t="shared" ref="E22" si="22">IF(L22&gt;0,(L22*J22/1000000000*7850),(I22*J22*K22/1000000000*7850))</f>
        <v>76.867199999999997</v>
      </c>
      <c r="F22" s="3">
        <f t="shared" si="1"/>
        <v>1537.3440000000001</v>
      </c>
      <c r="I22" s="1">
        <f>(1042+2358)/2</f>
        <v>1700</v>
      </c>
      <c r="J22" s="1">
        <v>24</v>
      </c>
      <c r="K22" s="5">
        <v>240</v>
      </c>
      <c r="M22" s="6">
        <f t="shared" si="3"/>
        <v>0.81599999999999995</v>
      </c>
      <c r="N22" s="5">
        <f t="shared" si="2"/>
        <v>16.32</v>
      </c>
      <c r="P22" s="5"/>
    </row>
    <row r="23" spans="1:16" x14ac:dyDescent="0.25">
      <c r="A23" s="38"/>
      <c r="B23" s="4" t="s">
        <v>271</v>
      </c>
      <c r="C23" s="15" t="str">
        <f>CONCATENATE("□",I23,"×",J23,"×",K23,"(平均)")</f>
        <v>□6766×32×320(平均)</v>
      </c>
      <c r="D23" s="2">
        <v>4</v>
      </c>
      <c r="E23" s="16">
        <f t="shared" ref="E23" si="23">IF(L23&gt;0,(L23*J23/1000000000*7850),(I23*J23*K23/1000000000*7850))</f>
        <v>543.87814400000002</v>
      </c>
      <c r="F23" s="3">
        <f t="shared" si="1"/>
        <v>2175.5125760000001</v>
      </c>
      <c r="I23" s="1">
        <f>(6678+6854)/2</f>
        <v>6766</v>
      </c>
      <c r="J23" s="1">
        <v>32</v>
      </c>
      <c r="K23" s="5">
        <v>320</v>
      </c>
      <c r="M23" s="6">
        <f t="shared" si="3"/>
        <v>4.3302399999999999</v>
      </c>
      <c r="N23" s="5">
        <f t="shared" si="2"/>
        <v>17.320959999999999</v>
      </c>
      <c r="P23" s="5"/>
    </row>
    <row r="24" spans="1:16" x14ac:dyDescent="0.25">
      <c r="A24" s="38"/>
      <c r="B24" s="4" t="s">
        <v>272</v>
      </c>
      <c r="C24" s="15" t="str">
        <f t="shared" ref="C24:C26" si="24">CONCATENATE("□",I24,"×",J24,"×",K24,"(平均)")</f>
        <v>□1033×32×320(平均)</v>
      </c>
      <c r="D24" s="2">
        <v>4</v>
      </c>
      <c r="E24" s="16">
        <f t="shared" ref="E24:E26" si="25">IF(L24&gt;0,(L24*J24/1000000000*7850),(I24*J24*K24/1000000000*7850))</f>
        <v>83.036671999999996</v>
      </c>
      <c r="F24" s="3">
        <f t="shared" ref="F24:F26" si="26">D24*E24</f>
        <v>332.14668799999998</v>
      </c>
      <c r="I24" s="1">
        <f>(943+1123)/2</f>
        <v>1033</v>
      </c>
      <c r="J24" s="1">
        <v>32</v>
      </c>
      <c r="K24" s="5">
        <v>320</v>
      </c>
      <c r="M24" s="6">
        <f t="shared" si="3"/>
        <v>0.66112000000000004</v>
      </c>
      <c r="N24" s="5">
        <f t="shared" si="2"/>
        <v>2.6444800000000002</v>
      </c>
      <c r="P24" s="5"/>
    </row>
    <row r="25" spans="1:16" x14ac:dyDescent="0.25">
      <c r="A25" s="38"/>
      <c r="B25" s="4" t="s">
        <v>273</v>
      </c>
      <c r="C25" s="15" t="str">
        <f t="shared" si="24"/>
        <v>□4206×32×320(平均)</v>
      </c>
      <c r="D25" s="2">
        <v>12</v>
      </c>
      <c r="E25" s="16">
        <f t="shared" si="25"/>
        <v>338.09510399999999</v>
      </c>
      <c r="F25" s="3">
        <f t="shared" si="26"/>
        <v>4057.1412479999999</v>
      </c>
      <c r="I25" s="1">
        <f>(2282+6130)/2</f>
        <v>4206</v>
      </c>
      <c r="J25" s="1">
        <v>32</v>
      </c>
      <c r="K25" s="5">
        <v>320</v>
      </c>
      <c r="M25" s="6">
        <f t="shared" si="3"/>
        <v>2.69184</v>
      </c>
      <c r="N25" s="5">
        <f t="shared" si="2"/>
        <v>32.302080000000004</v>
      </c>
      <c r="P25" s="5"/>
    </row>
    <row r="26" spans="1:16" x14ac:dyDescent="0.25">
      <c r="A26" s="38"/>
      <c r="B26" s="4" t="s">
        <v>274</v>
      </c>
      <c r="C26" s="15" t="str">
        <f t="shared" si="24"/>
        <v>□3568×32×320(平均)</v>
      </c>
      <c r="D26" s="2">
        <v>12</v>
      </c>
      <c r="E26" s="16">
        <f t="shared" si="25"/>
        <v>286.810112</v>
      </c>
      <c r="F26" s="3">
        <f t="shared" si="26"/>
        <v>3441.721344</v>
      </c>
      <c r="I26" s="1">
        <f>(1643+5493)/2</f>
        <v>3568</v>
      </c>
      <c r="J26" s="1">
        <v>32</v>
      </c>
      <c r="K26" s="5">
        <v>320</v>
      </c>
      <c r="M26" s="6">
        <f t="shared" si="3"/>
        <v>2.2835200000000002</v>
      </c>
      <c r="N26" s="5">
        <f t="shared" si="2"/>
        <v>27.402240000000003</v>
      </c>
      <c r="P26" s="5"/>
    </row>
    <row r="27" spans="1:16" x14ac:dyDescent="0.25">
      <c r="A27" s="39"/>
      <c r="B27" s="4" t="s">
        <v>301</v>
      </c>
      <c r="C27" s="15" t="str">
        <f t="shared" ref="C27" si="27">CONCATENATE("□",I27,"×",J27,"×",K27,"(平均)")</f>
        <v>□2888×32×320(平均)</v>
      </c>
      <c r="D27" s="2">
        <v>12</v>
      </c>
      <c r="E27" s="16">
        <f t="shared" ref="E27" si="28">IF(L27&gt;0,(L27*J27/1000000000*7850),(I27*J27*K27/1000000000*7850))</f>
        <v>232.14899200000002</v>
      </c>
      <c r="F27" s="3">
        <f t="shared" ref="F27" si="29">D27*E27</f>
        <v>2785.7879040000003</v>
      </c>
      <c r="I27" s="1">
        <f>(4310+1466)/2</f>
        <v>2888</v>
      </c>
      <c r="J27" s="1">
        <v>32</v>
      </c>
      <c r="K27" s="5">
        <v>320</v>
      </c>
      <c r="M27" s="6">
        <f t="shared" si="3"/>
        <v>1.84832</v>
      </c>
      <c r="N27" s="5">
        <f t="shared" si="2"/>
        <v>22.179839999999999</v>
      </c>
      <c r="P27" s="5"/>
    </row>
    <row r="28" spans="1:16" x14ac:dyDescent="0.25">
      <c r="A28" s="37"/>
      <c r="B28" s="34" t="s">
        <v>23</v>
      </c>
      <c r="C28" s="34"/>
      <c r="D28" s="34"/>
      <c r="E28" s="34"/>
      <c r="F28" s="7">
        <f>SUM(F6:F27)</f>
        <v>60220.235111975802</v>
      </c>
    </row>
    <row r="29" spans="1:16" x14ac:dyDescent="0.25">
      <c r="A29" s="38"/>
      <c r="B29" s="34" t="s">
        <v>26</v>
      </c>
      <c r="C29" s="34"/>
      <c r="D29" s="34"/>
      <c r="E29" s="34"/>
      <c r="F29" s="8">
        <f>F28*0.015</f>
        <v>903.303526679637</v>
      </c>
    </row>
    <row r="30" spans="1:16" x14ac:dyDescent="0.25">
      <c r="A30" s="39"/>
      <c r="B30" s="34" t="s">
        <v>24</v>
      </c>
      <c r="C30" s="34"/>
      <c r="D30" s="34"/>
      <c r="E30" s="34"/>
      <c r="F30" s="7">
        <f>F28+F29</f>
        <v>61123.538638655438</v>
      </c>
    </row>
    <row r="31" spans="1:16" x14ac:dyDescent="0.25">
      <c r="F31" s="23"/>
    </row>
    <row r="32" spans="1:16" x14ac:dyDescent="0.25">
      <c r="F32" s="23"/>
    </row>
    <row r="33" spans="1:16" x14ac:dyDescent="0.25">
      <c r="F33" s="23"/>
    </row>
    <row r="34" spans="1:16" x14ac:dyDescent="0.25">
      <c r="A34" s="46" t="s">
        <v>276</v>
      </c>
      <c r="B34" s="46"/>
      <c r="C34" s="46"/>
      <c r="D34" s="46"/>
      <c r="E34" s="46"/>
      <c r="F34" s="46"/>
    </row>
    <row r="35" spans="1:16" x14ac:dyDescent="0.25">
      <c r="A35" s="4" t="s">
        <v>177</v>
      </c>
      <c r="B35" s="2" t="s">
        <v>0</v>
      </c>
      <c r="C35" s="2" t="s">
        <v>1</v>
      </c>
      <c r="D35" s="2" t="s">
        <v>2</v>
      </c>
      <c r="E35" s="2" t="s">
        <v>3</v>
      </c>
      <c r="F35" s="2" t="s">
        <v>4</v>
      </c>
    </row>
    <row r="36" spans="1:16" x14ac:dyDescent="0.25">
      <c r="A36" s="4" t="s">
        <v>176</v>
      </c>
      <c r="B36" s="2" t="s">
        <v>277</v>
      </c>
      <c r="C36" s="2" t="str">
        <f t="shared" ref="C36:C37" si="30">CONCATENATE("□",I36,"×",J36,"×",K36)</f>
        <v>□3953×24×1580</v>
      </c>
      <c r="D36" s="2">
        <v>2</v>
      </c>
      <c r="E36" s="3">
        <f>IF(L36&gt;0,(L36*J36/1000000000*7850),(I36*J36*K36/1000000000*7850))</f>
        <v>1089.3553353863999</v>
      </c>
      <c r="F36" s="3">
        <f t="shared" ref="F36:F37" si="31">D36*E36</f>
        <v>2178.7106707727999</v>
      </c>
      <c r="I36" s="1">
        <v>3953</v>
      </c>
      <c r="J36" s="1">
        <v>24</v>
      </c>
      <c r="K36" s="5">
        <v>1580</v>
      </c>
      <c r="L36" s="1">
        <v>5782140.8459999999</v>
      </c>
      <c r="M36" s="6">
        <f t="shared" ref="M36:M41" si="32">IF(L36&gt;0,(L36*2/1000000),(I36*K36*2/1000000))</f>
        <v>11.564281692</v>
      </c>
      <c r="N36" s="5">
        <f t="shared" ref="N36" si="33">D36*M36</f>
        <v>23.128563384</v>
      </c>
      <c r="P36" s="5"/>
    </row>
    <row r="37" spans="1:16" x14ac:dyDescent="0.25">
      <c r="A37" s="4" t="s">
        <v>175</v>
      </c>
      <c r="B37" s="30" t="s">
        <v>278</v>
      </c>
      <c r="C37" s="2" t="str">
        <f t="shared" si="30"/>
        <v>□2388×24×1580</v>
      </c>
      <c r="D37" s="2">
        <v>2</v>
      </c>
      <c r="E37" s="3">
        <f>IF(L37&gt;0,(L37*J37/1000000000*7850),(I37*J37*K37/1000000000*7850))</f>
        <v>623.314336884</v>
      </c>
      <c r="F37" s="3">
        <f t="shared" si="31"/>
        <v>1246.628673768</v>
      </c>
      <c r="I37" s="1">
        <v>2388</v>
      </c>
      <c r="J37" s="1">
        <v>24</v>
      </c>
      <c r="K37" s="5">
        <v>1580</v>
      </c>
      <c r="L37" s="1">
        <v>3308462.51</v>
      </c>
      <c r="M37" s="6">
        <f t="shared" si="32"/>
        <v>6.6169250199999992</v>
      </c>
      <c r="N37" s="5">
        <f t="shared" ref="N37" si="34">D37*M37</f>
        <v>13.233850039999998</v>
      </c>
    </row>
    <row r="38" spans="1:16" x14ac:dyDescent="0.25">
      <c r="A38" s="34" t="s">
        <v>174</v>
      </c>
      <c r="B38" s="30" t="s">
        <v>279</v>
      </c>
      <c r="C38" s="2" t="str">
        <f t="shared" ref="C38" si="35">CONCATENATE("□",I38,"×",J38,"×",K38)</f>
        <v>□3979×24×1048</v>
      </c>
      <c r="D38" s="2">
        <v>4</v>
      </c>
      <c r="E38" s="3">
        <f>IF(L38&gt;0,(L38*J38/1000000000*7850),(I38*J38*K38/1000000000*7850))</f>
        <v>631.12975145448013</v>
      </c>
      <c r="F38" s="3">
        <f t="shared" ref="F38" si="36">D38*E38</f>
        <v>2524.5190058179205</v>
      </c>
      <c r="I38" s="1">
        <v>3979</v>
      </c>
      <c r="J38" s="1">
        <v>24</v>
      </c>
      <c r="K38" s="1">
        <v>1048</v>
      </c>
      <c r="L38" s="1">
        <v>3349945.6022000001</v>
      </c>
      <c r="M38" s="6">
        <f t="shared" si="32"/>
        <v>6.6998912044000001</v>
      </c>
      <c r="N38" s="5">
        <f t="shared" ref="N38" si="37">D38*M38</f>
        <v>26.7995648176</v>
      </c>
    </row>
    <row r="39" spans="1:16" x14ac:dyDescent="0.25">
      <c r="A39" s="34"/>
      <c r="B39" s="30" t="s">
        <v>280</v>
      </c>
      <c r="C39" s="2" t="str">
        <f t="shared" ref="C39" si="38">CONCATENATE("□",I39,"×",J39,"×",K39)</f>
        <v>□676×24×676</v>
      </c>
      <c r="D39" s="2">
        <v>4</v>
      </c>
      <c r="E39" s="3">
        <f>IF(L39&gt;0,(L39*J39/1000000000*7850),(I39*J39*K39/1000000000*7850))</f>
        <v>15.74729146464</v>
      </c>
      <c r="F39" s="3">
        <f t="shared" ref="F39" si="39">D39*E39</f>
        <v>62.98916585856</v>
      </c>
      <c r="I39" s="1">
        <v>676</v>
      </c>
      <c r="J39" s="1">
        <v>24</v>
      </c>
      <c r="K39" s="1">
        <v>676</v>
      </c>
      <c r="L39" s="1">
        <v>83584.349600000001</v>
      </c>
      <c r="M39" s="6">
        <f t="shared" si="32"/>
        <v>0.16716869919999999</v>
      </c>
      <c r="N39" s="5">
        <f t="shared" ref="N39" si="40">D39*M39</f>
        <v>0.66867479679999997</v>
      </c>
    </row>
    <row r="40" spans="1:16" x14ac:dyDescent="0.25">
      <c r="A40" s="4" t="s">
        <v>264</v>
      </c>
      <c r="B40" s="30" t="s">
        <v>281</v>
      </c>
      <c r="C40" s="2" t="str">
        <f t="shared" ref="C40" si="41">CONCATENATE("□",I40,"×",J40,"×",K40)</f>
        <v>□1580×12×1000</v>
      </c>
      <c r="D40" s="2">
        <v>2</v>
      </c>
      <c r="E40" s="3">
        <f>IF(L40&gt;0,(L40*J40/1000000000*7850),(I40*J40*K40/1000000000*7850))</f>
        <v>117.54721235358001</v>
      </c>
      <c r="F40" s="3">
        <f t="shared" ref="F40" si="42">D40*E40</f>
        <v>235.09442470716002</v>
      </c>
      <c r="I40" s="1">
        <v>1580</v>
      </c>
      <c r="J40" s="1">
        <v>12</v>
      </c>
      <c r="K40" s="1">
        <v>1000</v>
      </c>
      <c r="L40" s="1">
        <v>1247847.2649000001</v>
      </c>
      <c r="M40" s="6">
        <f t="shared" si="32"/>
        <v>2.4956945298000002</v>
      </c>
      <c r="N40" s="5">
        <f t="shared" ref="N40" si="43">D40*M40</f>
        <v>4.9913890596000003</v>
      </c>
    </row>
    <row r="41" spans="1:16" x14ac:dyDescent="0.25">
      <c r="A41" s="34" t="s">
        <v>259</v>
      </c>
      <c r="B41" s="4" t="s">
        <v>282</v>
      </c>
      <c r="C41" s="15" t="str">
        <f t="shared" ref="C41" si="44">CONCATENATE("□",I41,"×",J41,"×",K41,"(平均)")</f>
        <v>□1570×12×140(平均)</v>
      </c>
      <c r="D41" s="2">
        <v>12</v>
      </c>
      <c r="E41" s="16">
        <f t="shared" ref="E41" si="45">IF(L41&gt;0,(L41*J41/1000000000*7850),(I41*J41*K41/1000000000*7850))</f>
        <v>20.705159999999999</v>
      </c>
      <c r="F41" s="3">
        <f t="shared" ref="F41:F42" si="46">D41*E41</f>
        <v>248.46191999999999</v>
      </c>
      <c r="I41" s="1">
        <f>(788+2352)/2</f>
        <v>1570</v>
      </c>
      <c r="J41" s="1">
        <v>12</v>
      </c>
      <c r="K41" s="1">
        <v>140</v>
      </c>
      <c r="M41" s="6">
        <f t="shared" si="32"/>
        <v>0.43959999999999999</v>
      </c>
      <c r="N41" s="5">
        <f t="shared" ref="N41" si="47">D41*M41</f>
        <v>5.2751999999999999</v>
      </c>
    </row>
    <row r="42" spans="1:16" x14ac:dyDescent="0.25">
      <c r="A42" s="34"/>
      <c r="B42" s="4" t="s">
        <v>283</v>
      </c>
      <c r="C42" s="2" t="str">
        <f t="shared" ref="C42" si="48">CONCATENATE("□",I42,"×",J42,"×",K42)</f>
        <v>□1891×10×110</v>
      </c>
      <c r="D42" s="2">
        <v>2</v>
      </c>
      <c r="E42" s="3">
        <f t="shared" ref="E42" si="49">IF(L42&gt;0,(L42*J42/1000000000*7850),(I42*J42*K42/1000000000*7850))</f>
        <v>16.328785</v>
      </c>
      <c r="F42" s="3">
        <f t="shared" si="46"/>
        <v>32.65757</v>
      </c>
      <c r="I42" s="1">
        <v>1891</v>
      </c>
      <c r="J42" s="1">
        <v>10</v>
      </c>
      <c r="K42" s="1">
        <v>110</v>
      </c>
    </row>
    <row r="43" spans="1:16" x14ac:dyDescent="0.25">
      <c r="A43" s="37"/>
      <c r="B43" s="34" t="s">
        <v>23</v>
      </c>
      <c r="C43" s="34"/>
      <c r="D43" s="34"/>
      <c r="E43" s="34"/>
      <c r="F43" s="7">
        <f>SUM(F36:F42)</f>
        <v>6529.0614309244411</v>
      </c>
    </row>
    <row r="44" spans="1:16" x14ac:dyDescent="0.25">
      <c r="A44" s="38"/>
      <c r="B44" s="34" t="s">
        <v>26</v>
      </c>
      <c r="C44" s="34"/>
      <c r="D44" s="34"/>
      <c r="E44" s="34"/>
      <c r="F44" s="8">
        <f>F43*0.015</f>
        <v>97.935921463866606</v>
      </c>
    </row>
    <row r="45" spans="1:16" x14ac:dyDescent="0.25">
      <c r="A45" s="39"/>
      <c r="B45" s="34" t="s">
        <v>24</v>
      </c>
      <c r="C45" s="34"/>
      <c r="D45" s="34"/>
      <c r="E45" s="34"/>
      <c r="F45" s="7">
        <f>F43+F44</f>
        <v>6626.9973523883073</v>
      </c>
    </row>
    <row r="46" spans="1:16" x14ac:dyDescent="0.25">
      <c r="F46" s="23"/>
    </row>
    <row r="47" spans="1:16" x14ac:dyDescent="0.25">
      <c r="F47" s="23"/>
    </row>
    <row r="48" spans="1:16" x14ac:dyDescent="0.25">
      <c r="F48" s="23"/>
    </row>
    <row r="49" spans="1:14" x14ac:dyDescent="0.25">
      <c r="F49" s="23"/>
    </row>
    <row r="50" spans="1:14" x14ac:dyDescent="0.25">
      <c r="A50" s="47" t="s">
        <v>284</v>
      </c>
      <c r="B50" s="47"/>
      <c r="C50" s="47"/>
      <c r="D50" s="47"/>
      <c r="E50" s="47"/>
      <c r="F50" s="47"/>
    </row>
    <row r="51" spans="1:14" x14ac:dyDescent="0.25">
      <c r="A51" s="4" t="s">
        <v>177</v>
      </c>
      <c r="B51" s="2" t="s">
        <v>0</v>
      </c>
      <c r="C51" s="2" t="s">
        <v>1</v>
      </c>
      <c r="D51" s="2" t="s">
        <v>2</v>
      </c>
      <c r="E51" s="2" t="s">
        <v>3</v>
      </c>
      <c r="F51" s="2" t="s">
        <v>4</v>
      </c>
      <c r="I51" s="1" t="s">
        <v>6</v>
      </c>
      <c r="J51" s="1" t="s">
        <v>7</v>
      </c>
      <c r="K51" s="1" t="s">
        <v>8</v>
      </c>
      <c r="L51" s="1" t="s">
        <v>9</v>
      </c>
      <c r="M51" s="36" t="s">
        <v>25</v>
      </c>
      <c r="N51" s="36"/>
    </row>
    <row r="52" spans="1:14" x14ac:dyDescent="0.25">
      <c r="A52" s="4" t="s">
        <v>176</v>
      </c>
      <c r="B52" s="2" t="s">
        <v>257</v>
      </c>
      <c r="C52" s="2" t="str">
        <f t="shared" ref="C52:C56" si="50">CONCATENATE("□",I52,"×",J52,"×",K52)</f>
        <v>□8497×40×1753</v>
      </c>
      <c r="D52" s="2">
        <v>2</v>
      </c>
      <c r="E52" s="3">
        <f>IF(L52&gt;0,(L52*J52/1000000000*7850),(I52*J52*K52/1000000000*7850))</f>
        <v>4478.3425925212005</v>
      </c>
      <c r="F52" s="3">
        <f t="shared" ref="F52:F56" si="51">D52*E52</f>
        <v>8956.6851850424009</v>
      </c>
      <c r="I52" s="1">
        <v>8497</v>
      </c>
      <c r="J52" s="1">
        <v>40</v>
      </c>
      <c r="K52" s="5">
        <v>1753</v>
      </c>
      <c r="L52" s="1">
        <v>14262237.5558</v>
      </c>
      <c r="M52" s="6">
        <f>IF(L52&gt;0,(L52*2/1000000),(I52*K52*2/1000000))</f>
        <v>28.524475111600001</v>
      </c>
      <c r="N52" s="5">
        <f t="shared" ref="N52:N72" si="52">D52*M52</f>
        <v>57.048950223200002</v>
      </c>
    </row>
    <row r="53" spans="1:14" x14ac:dyDescent="0.25">
      <c r="A53" s="4" t="s">
        <v>175</v>
      </c>
      <c r="B53" s="4" t="s">
        <v>258</v>
      </c>
      <c r="C53" s="2" t="str">
        <f t="shared" si="50"/>
        <v>□2680×60×1753</v>
      </c>
      <c r="D53" s="2">
        <v>2</v>
      </c>
      <c r="E53" s="3">
        <f>IF(L53&gt;0,(L53*J53/1000000000*7850),(I53*J53*K53/1000000000*7850))</f>
        <v>1963.5195043845001</v>
      </c>
      <c r="F53" s="3">
        <f t="shared" si="51"/>
        <v>3927.0390087690002</v>
      </c>
      <c r="I53" s="1">
        <v>2680</v>
      </c>
      <c r="J53" s="1">
        <v>60</v>
      </c>
      <c r="K53" s="5">
        <v>1753</v>
      </c>
      <c r="L53" s="1">
        <v>4168831.2195000001</v>
      </c>
      <c r="M53" s="6">
        <f t="shared" ref="M53:M72" si="53">IF(L53&gt;0,(L53*2/1000000),(I53*K53*2/1000000))</f>
        <v>8.3376624390000007</v>
      </c>
      <c r="N53" s="5">
        <f t="shared" si="52"/>
        <v>16.675324878000001</v>
      </c>
    </row>
    <row r="54" spans="1:14" x14ac:dyDescent="0.25">
      <c r="A54" s="37" t="s">
        <v>174</v>
      </c>
      <c r="B54" s="4" t="s">
        <v>260</v>
      </c>
      <c r="C54" s="2" t="str">
        <f t="shared" si="50"/>
        <v>□8470×50×1870</v>
      </c>
      <c r="D54" s="2">
        <v>2</v>
      </c>
      <c r="E54" s="3">
        <f>IF(L54&gt;0,(L54*J54/1000000000*7850),(I54*J54*K54/1000000000*7850))</f>
        <v>5196.6676811182497</v>
      </c>
      <c r="F54" s="3">
        <f t="shared" si="51"/>
        <v>10393.335362236499</v>
      </c>
      <c r="I54" s="1">
        <v>8470</v>
      </c>
      <c r="J54" s="1">
        <v>50</v>
      </c>
      <c r="K54" s="5">
        <v>1870</v>
      </c>
      <c r="L54" s="1">
        <v>13239917.6589</v>
      </c>
      <c r="M54" s="6">
        <f t="shared" si="53"/>
        <v>26.479835317799999</v>
      </c>
      <c r="N54" s="5">
        <f t="shared" si="52"/>
        <v>52.959670635599998</v>
      </c>
    </row>
    <row r="55" spans="1:14" x14ac:dyDescent="0.25">
      <c r="A55" s="38"/>
      <c r="B55" s="4" t="s">
        <v>261</v>
      </c>
      <c r="C55" s="2" t="str">
        <f t="shared" si="50"/>
        <v>□5709×50×1870</v>
      </c>
      <c r="D55" s="2">
        <v>2</v>
      </c>
      <c r="E55" s="3">
        <f>IF(L55&gt;0,(L55*J55/1000000000*7850),(I55*J55*K55/1000000000*7850))</f>
        <v>3042.3414663502504</v>
      </c>
      <c r="F55" s="3">
        <f t="shared" si="51"/>
        <v>6084.6829327005007</v>
      </c>
      <c r="I55" s="1">
        <v>5709</v>
      </c>
      <c r="J55" s="1">
        <v>50</v>
      </c>
      <c r="K55" s="5">
        <v>1870</v>
      </c>
      <c r="L55" s="1">
        <v>7751188.4493000004</v>
      </c>
      <c r="M55" s="6">
        <f t="shared" si="53"/>
        <v>15.502376898600001</v>
      </c>
      <c r="N55" s="5">
        <f t="shared" si="52"/>
        <v>31.004753797200003</v>
      </c>
    </row>
    <row r="56" spans="1:14" x14ac:dyDescent="0.25">
      <c r="A56" s="38"/>
      <c r="B56" s="4" t="s">
        <v>262</v>
      </c>
      <c r="C56" s="2" t="str">
        <f t="shared" si="50"/>
        <v>□7940×50×1870</v>
      </c>
      <c r="D56" s="2">
        <v>2</v>
      </c>
      <c r="E56" s="3">
        <f t="shared" ref="E56" si="54">IF(L56&gt;0,(L56*J56/1000000000*7850),(I56*J56*K56/1000000000*7850))</f>
        <v>4682.3324836562506</v>
      </c>
      <c r="F56" s="3">
        <f t="shared" si="51"/>
        <v>9364.6649673125012</v>
      </c>
      <c r="I56" s="1">
        <v>7940</v>
      </c>
      <c r="J56" s="1">
        <v>50</v>
      </c>
      <c r="K56" s="5">
        <v>1870</v>
      </c>
      <c r="L56" s="1">
        <v>11929509.512499999</v>
      </c>
      <c r="M56" s="6">
        <f t="shared" si="53"/>
        <v>23.859019024999998</v>
      </c>
      <c r="N56" s="5">
        <f t="shared" si="52"/>
        <v>47.718038049999997</v>
      </c>
    </row>
    <row r="57" spans="1:14" x14ac:dyDescent="0.25">
      <c r="A57" s="38"/>
      <c r="B57" s="4" t="s">
        <v>263</v>
      </c>
      <c r="C57" s="2" t="str">
        <f>CONCATENATE("□",I57,"×",J57,"×",K57)</f>
        <v>□11870×50×4847</v>
      </c>
      <c r="D57" s="2">
        <v>2</v>
      </c>
      <c r="E57" s="3">
        <f>IF(L57&gt;0,(L57*J57/1000000000*7850),(I57*J57*K57/1000000000*7850))</f>
        <v>2538.6440091657496</v>
      </c>
      <c r="F57" s="3">
        <f>D57*E57</f>
        <v>5077.2880183314992</v>
      </c>
      <c r="I57" s="1">
        <v>11870</v>
      </c>
      <c r="J57" s="1">
        <v>50</v>
      </c>
      <c r="K57" s="5">
        <v>4847</v>
      </c>
      <c r="L57" s="1">
        <v>6467882.8258999996</v>
      </c>
      <c r="M57" s="6">
        <f t="shared" si="53"/>
        <v>12.935765651799999</v>
      </c>
      <c r="N57" s="5">
        <f t="shared" si="52"/>
        <v>25.871531303599998</v>
      </c>
    </row>
    <row r="58" spans="1:14" x14ac:dyDescent="0.25">
      <c r="A58" s="39"/>
      <c r="B58" s="4" t="s">
        <v>299</v>
      </c>
      <c r="C58" s="2" t="str">
        <f>CONCATENATE("□",I58,"×",J58,"×",K58)</f>
        <v>□8198×40×3627</v>
      </c>
      <c r="D58" s="2">
        <v>2</v>
      </c>
      <c r="E58" s="3">
        <f>IF(L58&gt;0,(L58*J58/1000000000*7850),(I58*J58*K58/1000000000*7850))</f>
        <v>5571.517630237</v>
      </c>
      <c r="F58" s="3">
        <f>D58*E58</f>
        <v>11143.035260474</v>
      </c>
      <c r="I58" s="1">
        <v>8198</v>
      </c>
      <c r="J58" s="1">
        <v>40</v>
      </c>
      <c r="K58" s="5">
        <v>3627</v>
      </c>
      <c r="L58" s="1">
        <v>17743686.7205</v>
      </c>
      <c r="M58" s="6">
        <f t="shared" ref="M58" si="55">IF(L58&gt;0,(L58*2/1000000),(I58*K58*2/1000000))</f>
        <v>35.487373441000003</v>
      </c>
      <c r="N58" s="5">
        <f t="shared" ref="N58" si="56">D58*M58</f>
        <v>70.974746882000005</v>
      </c>
    </row>
    <row r="59" spans="1:14" x14ac:dyDescent="0.25">
      <c r="A59" s="37" t="s">
        <v>264</v>
      </c>
      <c r="B59" s="2" t="s">
        <v>265</v>
      </c>
      <c r="C59" s="2" t="str">
        <f t="shared" ref="C59:C60" si="57">CONCATENATE("□",I59,"×",J59,"×",K59)</f>
        <v>□3640×24×1301</v>
      </c>
      <c r="D59" s="2">
        <v>4</v>
      </c>
      <c r="E59" s="3">
        <f t="shared" ref="E59:E64" si="58">IF(L59&gt;0,(L59*J59/1000000000*7850),(I59*J59*K59/1000000000*7850))</f>
        <v>520.88305199688</v>
      </c>
      <c r="F59" s="3">
        <f t="shared" ref="F59:F64" si="59">D59*E59</f>
        <v>2083.53220798752</v>
      </c>
      <c r="I59" s="1">
        <v>3640</v>
      </c>
      <c r="J59" s="1">
        <v>24</v>
      </c>
      <c r="K59" s="5">
        <v>1301</v>
      </c>
      <c r="L59" s="1">
        <v>2764772.0381999998</v>
      </c>
      <c r="M59" s="6">
        <f t="shared" si="53"/>
        <v>5.5295440763999997</v>
      </c>
      <c r="N59" s="5">
        <f t="shared" si="52"/>
        <v>22.118176305599999</v>
      </c>
    </row>
    <row r="60" spans="1:14" x14ac:dyDescent="0.25">
      <c r="A60" s="38"/>
      <c r="B60" s="2" t="s">
        <v>266</v>
      </c>
      <c r="C60" s="2" t="str">
        <f t="shared" si="57"/>
        <v>□1230×24×2686</v>
      </c>
      <c r="D60" s="2">
        <v>2</v>
      </c>
      <c r="E60" s="3">
        <f t="shared" si="58"/>
        <v>357.98895709883999</v>
      </c>
      <c r="F60" s="3">
        <f t="shared" si="59"/>
        <v>715.97791419767998</v>
      </c>
      <c r="I60" s="1">
        <v>1230</v>
      </c>
      <c r="J60" s="1">
        <v>24</v>
      </c>
      <c r="K60" s="5">
        <v>2686</v>
      </c>
      <c r="L60" s="1">
        <v>1900153.7001</v>
      </c>
      <c r="M60" s="6">
        <f t="shared" si="53"/>
        <v>3.8003074001999999</v>
      </c>
      <c r="N60" s="5">
        <f t="shared" si="52"/>
        <v>7.6006148003999998</v>
      </c>
    </row>
    <row r="61" spans="1:14" x14ac:dyDescent="0.25">
      <c r="A61" s="38"/>
      <c r="B61" s="2" t="s">
        <v>295</v>
      </c>
      <c r="C61" s="2" t="str">
        <f t="shared" ref="C61" si="60">CONCATENATE("□",I61,"×",J61,"×",K61)</f>
        <v>□1230×24×2905</v>
      </c>
      <c r="D61" s="2">
        <v>2</v>
      </c>
      <c r="E61" s="3">
        <f t="shared" ref="E61" si="61">IF(L61&gt;0,(L61*J61/1000000000*7850),(I61*J61*K61/1000000000*7850))</f>
        <v>389.17324801643997</v>
      </c>
      <c r="F61" s="3">
        <f t="shared" ref="F61" si="62">D61*E61</f>
        <v>778.34649603287994</v>
      </c>
      <c r="I61" s="1">
        <v>1230</v>
      </c>
      <c r="J61" s="1">
        <v>24</v>
      </c>
      <c r="K61" s="5">
        <v>2905</v>
      </c>
      <c r="L61" s="1">
        <v>2065675.4140999999</v>
      </c>
      <c r="M61" s="6">
        <f t="shared" ref="M61:M67" si="63">IF(L61&gt;0,(L61*2/1000000),(I61*K61*2/1000000))</f>
        <v>4.1313508281999995</v>
      </c>
      <c r="N61" s="5">
        <f t="shared" ref="N61:N67" si="64">D61*M61</f>
        <v>8.2627016563999991</v>
      </c>
    </row>
    <row r="62" spans="1:14" x14ac:dyDescent="0.25">
      <c r="A62" s="38"/>
      <c r="B62" s="2" t="s">
        <v>267</v>
      </c>
      <c r="C62" s="26" t="str">
        <f t="shared" ref="C62:C67" si="65">CONCATENATE("□",I62,"×",J62,"×",K62)</f>
        <v>□1216×24×2065</v>
      </c>
      <c r="D62" s="2">
        <v>2</v>
      </c>
      <c r="E62" s="3">
        <f t="shared" si="58"/>
        <v>267.32944286616004</v>
      </c>
      <c r="F62" s="3">
        <f t="shared" si="59"/>
        <v>534.65888573232007</v>
      </c>
      <c r="I62" s="1">
        <v>1216</v>
      </c>
      <c r="J62" s="1">
        <v>24</v>
      </c>
      <c r="K62" s="5">
        <v>2065</v>
      </c>
      <c r="L62" s="1">
        <v>1418946.0874000001</v>
      </c>
      <c r="M62" s="6">
        <f t="shared" si="63"/>
        <v>2.8378921748000003</v>
      </c>
      <c r="N62" s="5">
        <f t="shared" si="64"/>
        <v>5.6757843496000007</v>
      </c>
    </row>
    <row r="63" spans="1:14" x14ac:dyDescent="0.25">
      <c r="A63" s="38"/>
      <c r="B63" s="2" t="s">
        <v>296</v>
      </c>
      <c r="C63" s="26" t="str">
        <f t="shared" si="65"/>
        <v>□1230×24×2316</v>
      </c>
      <c r="D63" s="2">
        <v>2</v>
      </c>
      <c r="E63" s="3">
        <f t="shared" ref="E63" si="66">IF(L63&gt;0,(L63*J63/1000000000*7850),(I63*J63*K63/1000000000*7850))</f>
        <v>306.34303051404004</v>
      </c>
      <c r="F63" s="3">
        <f t="shared" ref="F63" si="67">D63*E63</f>
        <v>612.68606102808008</v>
      </c>
      <c r="I63" s="1">
        <v>1230</v>
      </c>
      <c r="J63" s="1">
        <v>24</v>
      </c>
      <c r="K63" s="5">
        <v>2316</v>
      </c>
      <c r="L63" s="1">
        <v>1626024.5781</v>
      </c>
      <c r="M63" s="6">
        <f t="shared" si="63"/>
        <v>3.2520491562</v>
      </c>
      <c r="N63" s="5">
        <f t="shared" si="64"/>
        <v>6.5040983124</v>
      </c>
    </row>
    <row r="64" spans="1:14" x14ac:dyDescent="0.25">
      <c r="A64" s="38"/>
      <c r="B64" s="2" t="s">
        <v>268</v>
      </c>
      <c r="C64" s="26" t="str">
        <f t="shared" si="65"/>
        <v>□1225×24×1044</v>
      </c>
      <c r="D64" s="2">
        <v>2</v>
      </c>
      <c r="E64" s="3">
        <f t="shared" si="58"/>
        <v>139.32321948095998</v>
      </c>
      <c r="F64" s="3">
        <f t="shared" si="59"/>
        <v>278.64643896191996</v>
      </c>
      <c r="I64" s="1">
        <v>1225</v>
      </c>
      <c r="J64" s="1">
        <v>24</v>
      </c>
      <c r="K64" s="5">
        <v>1044</v>
      </c>
      <c r="L64" s="1">
        <v>739507.5344</v>
      </c>
      <c r="M64" s="6">
        <f t="shared" si="63"/>
        <v>1.4790150688000001</v>
      </c>
      <c r="N64" s="5">
        <f t="shared" si="64"/>
        <v>2.9580301376000002</v>
      </c>
    </row>
    <row r="65" spans="1:14" ht="13.2" customHeight="1" x14ac:dyDescent="0.25">
      <c r="A65" s="38"/>
      <c r="B65" s="2" t="s">
        <v>297</v>
      </c>
      <c r="C65" s="26" t="str">
        <f t="shared" si="65"/>
        <v>□1610×24×1168</v>
      </c>
      <c r="D65" s="2">
        <v>2</v>
      </c>
      <c r="E65" s="3">
        <f t="shared" ref="E65" si="68">IF(L65&gt;0,(L65*J65/1000000000*7850),(I65*J65*K65/1000000000*7850))</f>
        <v>172.00213743035999</v>
      </c>
      <c r="F65" s="3">
        <f t="shared" ref="F65" si="69">D65*E65</f>
        <v>344.00427486071999</v>
      </c>
      <c r="I65" s="1">
        <v>1610</v>
      </c>
      <c r="J65" s="1">
        <v>24</v>
      </c>
      <c r="K65" s="5">
        <v>1168</v>
      </c>
      <c r="L65" s="1">
        <v>912962.51289999997</v>
      </c>
      <c r="M65" s="6">
        <f t="shared" si="63"/>
        <v>1.8259250257999999</v>
      </c>
      <c r="N65" s="5">
        <f t="shared" si="64"/>
        <v>3.6518500515999999</v>
      </c>
    </row>
    <row r="66" spans="1:14" x14ac:dyDescent="0.25">
      <c r="A66" s="38"/>
      <c r="B66" s="2" t="s">
        <v>269</v>
      </c>
      <c r="C66" s="26" t="str">
        <f t="shared" si="65"/>
        <v>□931×24×873</v>
      </c>
      <c r="D66" s="2">
        <v>2</v>
      </c>
      <c r="E66" s="3">
        <f>IF(L66&gt;0,(L66*J66/1000000000*7850),(I66*J66*K66/1000000000*7850))</f>
        <v>119.85201431340001</v>
      </c>
      <c r="F66" s="3">
        <f>D66*E66</f>
        <v>239.70402862680001</v>
      </c>
      <c r="I66" s="1">
        <v>931</v>
      </c>
      <c r="J66" s="1">
        <v>24</v>
      </c>
      <c r="K66" s="5">
        <v>873</v>
      </c>
      <c r="L66" s="1">
        <v>636157.18850000005</v>
      </c>
      <c r="M66" s="6">
        <f t="shared" si="63"/>
        <v>1.2723143770000001</v>
      </c>
      <c r="N66" s="5">
        <f t="shared" si="64"/>
        <v>2.5446287540000001</v>
      </c>
    </row>
    <row r="67" spans="1:14" x14ac:dyDescent="0.25">
      <c r="A67" s="39"/>
      <c r="B67" s="2" t="s">
        <v>298</v>
      </c>
      <c r="C67" s="26" t="str">
        <f t="shared" si="65"/>
        <v>□1110×24×1042</v>
      </c>
      <c r="D67" s="2">
        <v>2</v>
      </c>
      <c r="E67" s="3">
        <f>IF(L67&gt;0,(L67*J67/1000000000*7850),(I67*J67*K67/1000000000*7850))</f>
        <v>157.28911740912</v>
      </c>
      <c r="F67" s="3">
        <f>D67*E67</f>
        <v>314.57823481823999</v>
      </c>
      <c r="I67" s="1">
        <v>1110</v>
      </c>
      <c r="J67" s="1">
        <v>24</v>
      </c>
      <c r="K67" s="5">
        <v>1042</v>
      </c>
      <c r="L67" s="1">
        <v>834867.92680000002</v>
      </c>
      <c r="M67" s="6">
        <f t="shared" si="63"/>
        <v>1.6697358536</v>
      </c>
      <c r="N67" s="5">
        <f t="shared" si="64"/>
        <v>3.3394717072</v>
      </c>
    </row>
    <row r="68" spans="1:14" x14ac:dyDescent="0.25">
      <c r="A68" s="37" t="s">
        <v>259</v>
      </c>
      <c r="B68" s="4" t="s">
        <v>270</v>
      </c>
      <c r="C68" s="15" t="str">
        <f>CONCATENATE("□",I68,"×",J68,"×",K68,"(平均)")</f>
        <v>□1713×24×240(平均)</v>
      </c>
      <c r="D68" s="2">
        <v>20</v>
      </c>
      <c r="E68" s="16">
        <f t="shared" ref="E68:E72" si="70">IF(L68&gt;0,(L68*J68/1000000000*7850),(I68*J68*K68/1000000000*7850))</f>
        <v>77.455007999999992</v>
      </c>
      <c r="F68" s="3">
        <f t="shared" ref="F68:F72" si="71">D68*E68</f>
        <v>1549.10016</v>
      </c>
      <c r="I68" s="1">
        <f>(1075+2351)/2</f>
        <v>1713</v>
      </c>
      <c r="J68" s="1">
        <v>24</v>
      </c>
      <c r="K68" s="5">
        <v>240</v>
      </c>
      <c r="M68" s="6">
        <f t="shared" si="53"/>
        <v>0.82223999999999997</v>
      </c>
      <c r="N68" s="5">
        <f t="shared" si="52"/>
        <v>16.444800000000001</v>
      </c>
    </row>
    <row r="69" spans="1:14" x14ac:dyDescent="0.25">
      <c r="A69" s="38"/>
      <c r="B69" s="4" t="s">
        <v>271</v>
      </c>
      <c r="C69" s="15" t="str">
        <f>CONCATENATE("□",I69,"×",J69,"×",K69,"(平均)")</f>
        <v>□8205×32×320(平均)</v>
      </c>
      <c r="D69" s="2">
        <v>4</v>
      </c>
      <c r="E69" s="16">
        <f t="shared" si="70"/>
        <v>659.55072000000007</v>
      </c>
      <c r="F69" s="3">
        <f t="shared" si="71"/>
        <v>2638.2028800000003</v>
      </c>
      <c r="I69" s="1">
        <f>(8117+8293)/2</f>
        <v>8205</v>
      </c>
      <c r="J69" s="1">
        <v>32</v>
      </c>
      <c r="K69" s="5">
        <v>320</v>
      </c>
      <c r="M69" s="6">
        <f t="shared" si="53"/>
        <v>5.2511999999999999</v>
      </c>
      <c r="N69" s="5">
        <f t="shared" si="52"/>
        <v>21.004799999999999</v>
      </c>
    </row>
    <row r="70" spans="1:14" x14ac:dyDescent="0.25">
      <c r="A70" s="38"/>
      <c r="B70" s="4" t="s">
        <v>272</v>
      </c>
      <c r="C70" s="15" t="str">
        <f t="shared" ref="C70:C72" si="72">CONCATENATE("□",I70,"×",J70,"×",K70,"(平均)")</f>
        <v>□2384×32×320(平均)</v>
      </c>
      <c r="D70" s="2">
        <v>4</v>
      </c>
      <c r="E70" s="16">
        <f t="shared" si="70"/>
        <v>191.63545599999998</v>
      </c>
      <c r="F70" s="3">
        <f t="shared" si="71"/>
        <v>766.54182399999991</v>
      </c>
      <c r="I70" s="1">
        <f>(2294+2474)/2</f>
        <v>2384</v>
      </c>
      <c r="J70" s="1">
        <v>32</v>
      </c>
      <c r="K70" s="5">
        <v>320</v>
      </c>
      <c r="M70" s="6">
        <f t="shared" si="53"/>
        <v>1.52576</v>
      </c>
      <c r="N70" s="5">
        <f t="shared" si="52"/>
        <v>6.10304</v>
      </c>
    </row>
    <row r="71" spans="1:14" x14ac:dyDescent="0.25">
      <c r="A71" s="38"/>
      <c r="B71" s="4" t="s">
        <v>273</v>
      </c>
      <c r="C71" s="15" t="str">
        <f t="shared" si="72"/>
        <v>□4770×32×320(平均)</v>
      </c>
      <c r="D71" s="2">
        <v>12</v>
      </c>
      <c r="E71" s="16">
        <f t="shared" si="70"/>
        <v>383.43168000000003</v>
      </c>
      <c r="F71" s="3">
        <f t="shared" si="71"/>
        <v>4601.1801599999999</v>
      </c>
      <c r="I71" s="1">
        <f>(2708+6832)/2</f>
        <v>4770</v>
      </c>
      <c r="J71" s="1">
        <v>32</v>
      </c>
      <c r="K71" s="5">
        <v>320</v>
      </c>
      <c r="M71" s="6">
        <f t="shared" si="53"/>
        <v>3.0528</v>
      </c>
      <c r="N71" s="5">
        <f t="shared" si="52"/>
        <v>36.633600000000001</v>
      </c>
    </row>
    <row r="72" spans="1:14" x14ac:dyDescent="0.25">
      <c r="A72" s="38"/>
      <c r="B72" s="4" t="s">
        <v>274</v>
      </c>
      <c r="C72" s="15" t="str">
        <f t="shared" si="72"/>
        <v>□4059×32×320(平均)</v>
      </c>
      <c r="D72" s="2">
        <v>12</v>
      </c>
      <c r="E72" s="16">
        <f t="shared" si="70"/>
        <v>326.27865600000001</v>
      </c>
      <c r="F72" s="3">
        <f t="shared" si="71"/>
        <v>3915.3438720000004</v>
      </c>
      <c r="I72" s="1">
        <f>(2028+6090)/2</f>
        <v>4059</v>
      </c>
      <c r="J72" s="1">
        <v>32</v>
      </c>
      <c r="K72" s="5">
        <v>320</v>
      </c>
      <c r="M72" s="6">
        <f t="shared" si="53"/>
        <v>2.5977600000000001</v>
      </c>
      <c r="N72" s="5">
        <f t="shared" si="52"/>
        <v>31.173120000000001</v>
      </c>
    </row>
    <row r="73" spans="1:14" x14ac:dyDescent="0.25">
      <c r="A73" s="39"/>
      <c r="B73" s="4" t="s">
        <v>300</v>
      </c>
      <c r="C73" s="15" t="str">
        <f t="shared" ref="C73" si="73">CONCATENATE("□",I73,"×",J73,"×",K73,"(平均)")</f>
        <v>□4112×32×320(平均)</v>
      </c>
      <c r="D73" s="2">
        <v>12</v>
      </c>
      <c r="E73" s="16">
        <f t="shared" ref="E73" si="74">IF(L73&gt;0,(L73*J73/1000000000*7850),(I73*J73*K73/1000000000*7850))</f>
        <v>330.53900799999997</v>
      </c>
      <c r="F73" s="3">
        <f t="shared" ref="F73" si="75">D73*E73</f>
        <v>3966.4680959999996</v>
      </c>
      <c r="I73" s="1">
        <f>(5555+2669)/2</f>
        <v>4112</v>
      </c>
      <c r="J73" s="1">
        <v>32</v>
      </c>
      <c r="K73" s="5">
        <v>320</v>
      </c>
      <c r="M73" s="6">
        <f t="shared" ref="M73" si="76">IF(L73&gt;0,(L73*2/1000000),(I73*K73*2/1000000))</f>
        <v>2.6316799999999998</v>
      </c>
      <c r="N73" s="5">
        <f t="shared" ref="N73" si="77">D73*M73</f>
        <v>31.580159999999999</v>
      </c>
    </row>
    <row r="74" spans="1:14" x14ac:dyDescent="0.25">
      <c r="A74" s="37"/>
      <c r="B74" s="34" t="s">
        <v>23</v>
      </c>
      <c r="C74" s="34"/>
      <c r="D74" s="34"/>
      <c r="E74" s="34"/>
      <c r="F74" s="7">
        <f>SUM(F52:F73)</f>
        <v>78285.70226911256</v>
      </c>
    </row>
    <row r="75" spans="1:14" x14ac:dyDescent="0.25">
      <c r="A75" s="38"/>
      <c r="B75" s="34" t="s">
        <v>26</v>
      </c>
      <c r="C75" s="34"/>
      <c r="D75" s="34"/>
      <c r="E75" s="34"/>
      <c r="F75" s="8">
        <f>F74*0.015</f>
        <v>1174.2855340366884</v>
      </c>
    </row>
    <row r="76" spans="1:14" x14ac:dyDescent="0.25">
      <c r="A76" s="39"/>
      <c r="B76" s="34" t="s">
        <v>24</v>
      </c>
      <c r="C76" s="34"/>
      <c r="D76" s="34"/>
      <c r="E76" s="34"/>
      <c r="F76" s="7">
        <f>F74+F75</f>
        <v>79459.987803149255</v>
      </c>
    </row>
    <row r="80" spans="1:14" x14ac:dyDescent="0.25">
      <c r="A80" s="44" t="s">
        <v>285</v>
      </c>
      <c r="B80" s="44"/>
      <c r="C80" s="44"/>
      <c r="D80" s="44"/>
      <c r="E80" s="44"/>
      <c r="F80" s="44"/>
    </row>
    <row r="81" spans="1:14" x14ac:dyDescent="0.25">
      <c r="A81" s="4" t="s">
        <v>177</v>
      </c>
      <c r="B81" s="2" t="s">
        <v>0</v>
      </c>
      <c r="C81" s="2" t="s">
        <v>1</v>
      </c>
      <c r="D81" s="2" t="s">
        <v>2</v>
      </c>
      <c r="E81" s="2" t="s">
        <v>3</v>
      </c>
      <c r="F81" s="2" t="s">
        <v>4</v>
      </c>
    </row>
    <row r="82" spans="1:14" x14ac:dyDescent="0.25">
      <c r="A82" s="4" t="s">
        <v>176</v>
      </c>
      <c r="B82" s="2" t="s">
        <v>277</v>
      </c>
      <c r="C82" s="2" t="str">
        <f t="shared" ref="C82:C86" si="78">CONCATENATE("□",I82,"×",J82,"×",K82)</f>
        <v>□3830×24×1580</v>
      </c>
      <c r="D82" s="2">
        <v>2</v>
      </c>
      <c r="E82" s="3">
        <f>IF(L82&gt;0,(L82*J82/1000000000*7850),(I82*J82*K82/1000000000*7850))</f>
        <v>1060.8615600000001</v>
      </c>
      <c r="F82" s="3">
        <f t="shared" ref="F82:F88" si="79">D82*E82</f>
        <v>2121.7231200000001</v>
      </c>
      <c r="I82" s="1">
        <v>3830</v>
      </c>
      <c r="J82" s="1">
        <v>24</v>
      </c>
      <c r="K82" s="5">
        <v>1580</v>
      </c>
      <c r="L82" s="1">
        <v>5630900</v>
      </c>
      <c r="M82" s="6">
        <f t="shared" ref="M82:M87" si="80">IF(L82&gt;0,(L82*2/1000000),(I82*K82*2/1000000))</f>
        <v>11.261799999999999</v>
      </c>
      <c r="N82" s="5">
        <f t="shared" ref="N82:N87" si="81">D82*M82</f>
        <v>22.523599999999998</v>
      </c>
    </row>
    <row r="83" spans="1:14" x14ac:dyDescent="0.25">
      <c r="A83" s="4" t="s">
        <v>175</v>
      </c>
      <c r="B83" s="30" t="s">
        <v>278</v>
      </c>
      <c r="C83" s="2" t="str">
        <f t="shared" si="78"/>
        <v>□2264×24×1580</v>
      </c>
      <c r="D83" s="2">
        <v>2</v>
      </c>
      <c r="E83" s="3">
        <f>IF(L83&gt;0,(L83*J83/1000000000*7850),(I83*J83*K83/1000000000*7850))</f>
        <v>594.55837199999996</v>
      </c>
      <c r="F83" s="3">
        <f t="shared" si="79"/>
        <v>1189.1167439999999</v>
      </c>
      <c r="I83" s="1">
        <v>2264</v>
      </c>
      <c r="J83" s="1">
        <v>24</v>
      </c>
      <c r="K83" s="5">
        <v>1580</v>
      </c>
      <c r="L83" s="1">
        <v>3155830</v>
      </c>
      <c r="M83" s="6">
        <f t="shared" si="80"/>
        <v>6.3116599999999998</v>
      </c>
      <c r="N83" s="5">
        <f t="shared" si="81"/>
        <v>12.62332</v>
      </c>
    </row>
    <row r="84" spans="1:14" x14ac:dyDescent="0.25">
      <c r="A84" s="34" t="s">
        <v>174</v>
      </c>
      <c r="B84" s="30" t="s">
        <v>279</v>
      </c>
      <c r="C84" s="2" t="str">
        <f t="shared" si="78"/>
        <v>□3859×24×1048</v>
      </c>
      <c r="D84" s="2">
        <v>4</v>
      </c>
      <c r="E84" s="3">
        <f>IF(L84&gt;0,(L84*J84/1000000000*7850),(I84*J84*K84/1000000000*7850))</f>
        <v>607.2859224</v>
      </c>
      <c r="F84" s="3">
        <f t="shared" si="79"/>
        <v>2429.1436896</v>
      </c>
      <c r="I84" s="1">
        <v>3859</v>
      </c>
      <c r="J84" s="1">
        <v>24</v>
      </c>
      <c r="K84" s="1">
        <v>1048</v>
      </c>
      <c r="L84" s="1">
        <v>3223386</v>
      </c>
      <c r="M84" s="6">
        <f t="shared" si="80"/>
        <v>6.4467720000000002</v>
      </c>
      <c r="N84" s="5">
        <f t="shared" si="81"/>
        <v>25.787088000000001</v>
      </c>
    </row>
    <row r="85" spans="1:14" x14ac:dyDescent="0.25">
      <c r="A85" s="34"/>
      <c r="B85" s="30" t="s">
        <v>280</v>
      </c>
      <c r="C85" s="2" t="str">
        <f t="shared" si="78"/>
        <v>□685×24×685</v>
      </c>
      <c r="D85" s="2">
        <v>4</v>
      </c>
      <c r="E85" s="3">
        <f>IF(L85&gt;0,(L85*J85/1000000000*7850),(I85*J85*K85/1000000000*7850))</f>
        <v>16.02576912192</v>
      </c>
      <c r="F85" s="3">
        <f t="shared" si="79"/>
        <v>64.103076487679999</v>
      </c>
      <c r="I85" s="1">
        <v>685</v>
      </c>
      <c r="J85" s="1">
        <v>24</v>
      </c>
      <c r="K85" s="1">
        <v>685</v>
      </c>
      <c r="L85" s="1">
        <v>85062.468800000002</v>
      </c>
      <c r="M85" s="6">
        <f t="shared" si="80"/>
        <v>0.1701249376</v>
      </c>
      <c r="N85" s="5">
        <f t="shared" si="81"/>
        <v>0.68049975039999999</v>
      </c>
    </row>
    <row r="86" spans="1:14" x14ac:dyDescent="0.25">
      <c r="A86" s="4" t="s">
        <v>264</v>
      </c>
      <c r="B86" s="30" t="s">
        <v>281</v>
      </c>
      <c r="C86" s="2" t="str">
        <f t="shared" si="78"/>
        <v>□1580×12×1000</v>
      </c>
      <c r="D86" s="2">
        <v>2</v>
      </c>
      <c r="E86" s="3">
        <f>IF(L86&gt;0,(L86*J86/1000000000*7850),(I86*J86*K86/1000000000*7850))</f>
        <v>117.54721235358001</v>
      </c>
      <c r="F86" s="3">
        <f t="shared" si="79"/>
        <v>235.09442470716002</v>
      </c>
      <c r="I86" s="1">
        <v>1580</v>
      </c>
      <c r="J86" s="1">
        <v>12</v>
      </c>
      <c r="K86" s="1">
        <v>1000</v>
      </c>
      <c r="L86" s="1">
        <v>1247847.2649000001</v>
      </c>
      <c r="M86" s="6">
        <f t="shared" si="80"/>
        <v>2.4956945298000002</v>
      </c>
      <c r="N86" s="5">
        <f t="shared" si="81"/>
        <v>4.9913890596000003</v>
      </c>
    </row>
    <row r="87" spans="1:14" x14ac:dyDescent="0.25">
      <c r="A87" s="34" t="s">
        <v>259</v>
      </c>
      <c r="B87" s="4" t="s">
        <v>282</v>
      </c>
      <c r="C87" s="15" t="str">
        <f t="shared" ref="C87" si="82">CONCATENATE("□",I87,"×",J87,"×",K87,"(平均)")</f>
        <v>□2322×12×140(平均)</v>
      </c>
      <c r="D87" s="2">
        <v>12</v>
      </c>
      <c r="E87" s="16">
        <f t="shared" ref="E87:E88" si="83">IF(L87&gt;0,(L87*J87/1000000000*7850),(I87*J87*K87/1000000000*7850))</f>
        <v>30.622536</v>
      </c>
      <c r="F87" s="3">
        <f t="shared" si="79"/>
        <v>367.47043200000002</v>
      </c>
      <c r="I87" s="1">
        <f>(814+3830)/2</f>
        <v>2322</v>
      </c>
      <c r="J87" s="1">
        <v>12</v>
      </c>
      <c r="K87" s="1">
        <v>140</v>
      </c>
      <c r="M87" s="6">
        <f t="shared" si="80"/>
        <v>0.65015999999999996</v>
      </c>
      <c r="N87" s="5">
        <f t="shared" si="81"/>
        <v>7.8019199999999991</v>
      </c>
    </row>
    <row r="88" spans="1:14" x14ac:dyDescent="0.25">
      <c r="A88" s="34"/>
      <c r="B88" s="4" t="s">
        <v>283</v>
      </c>
      <c r="C88" s="2" t="str">
        <f t="shared" ref="C88" si="84">CONCATENATE("□",I88,"×",J88,"×",K88)</f>
        <v>□1891×10×110</v>
      </c>
      <c r="D88" s="2">
        <v>2</v>
      </c>
      <c r="E88" s="3">
        <f t="shared" si="83"/>
        <v>16.328785</v>
      </c>
      <c r="F88" s="3">
        <f t="shared" si="79"/>
        <v>32.65757</v>
      </c>
      <c r="I88" s="1">
        <v>1891</v>
      </c>
      <c r="J88" s="1">
        <v>10</v>
      </c>
      <c r="K88" s="1">
        <v>110</v>
      </c>
    </row>
    <row r="89" spans="1:14" x14ac:dyDescent="0.25">
      <c r="A89" s="37"/>
      <c r="B89" s="34" t="s">
        <v>23</v>
      </c>
      <c r="C89" s="34"/>
      <c r="D89" s="34"/>
      <c r="E89" s="34"/>
      <c r="F89" s="7">
        <f>SUM(F82:F88)</f>
        <v>6439.3090567948402</v>
      </c>
    </row>
    <row r="90" spans="1:14" x14ac:dyDescent="0.25">
      <c r="A90" s="38"/>
      <c r="B90" s="34" t="s">
        <v>26</v>
      </c>
      <c r="C90" s="34"/>
      <c r="D90" s="34"/>
      <c r="E90" s="34"/>
      <c r="F90" s="8">
        <f>F89*0.015</f>
        <v>96.589635851922594</v>
      </c>
    </row>
    <row r="91" spans="1:14" x14ac:dyDescent="0.25">
      <c r="A91" s="39"/>
      <c r="B91" s="34" t="s">
        <v>24</v>
      </c>
      <c r="C91" s="34"/>
      <c r="D91" s="34"/>
      <c r="E91" s="34"/>
      <c r="F91" s="7">
        <f>F89+F90</f>
        <v>6535.8986926467624</v>
      </c>
    </row>
    <row r="95" spans="1:14" x14ac:dyDescent="0.25">
      <c r="B95" s="1" t="s">
        <v>292</v>
      </c>
      <c r="C95" s="1" t="s">
        <v>293</v>
      </c>
      <c r="D95" s="1" t="s">
        <v>112</v>
      </c>
    </row>
    <row r="96" spans="1:14" x14ac:dyDescent="0.25">
      <c r="A96" s="1">
        <v>10</v>
      </c>
      <c r="B96" s="6">
        <f>SUMIF($J$6:$J$42,A96,$F$6:$F$42)</f>
        <v>32.65757</v>
      </c>
      <c r="C96" s="6">
        <f>SUMIF($J$52:$J$88,A96,$F$52:$F$88)</f>
        <v>32.65757</v>
      </c>
      <c r="D96" s="31">
        <f>B96+C96</f>
        <v>65.31514</v>
      </c>
    </row>
    <row r="97" spans="1:4" x14ac:dyDescent="0.25">
      <c r="A97" s="1">
        <v>12</v>
      </c>
      <c r="B97" s="6">
        <f t="shared" ref="B97:B102" si="85">SUMIF($J$6:$J$42,A97,$F$6:$F$42)</f>
        <v>483.55634470716001</v>
      </c>
      <c r="C97" s="6">
        <f t="shared" ref="C97:C102" si="86">SUMIF($J$52:$J$88,A97,$F$52:$F$88)</f>
        <v>602.56485670716006</v>
      </c>
      <c r="D97" s="31">
        <f t="shared" ref="D97:D102" si="87">B97+C97</f>
        <v>1086.12120141432</v>
      </c>
    </row>
    <row r="98" spans="1:4" x14ac:dyDescent="0.25">
      <c r="A98" s="1">
        <v>24</v>
      </c>
      <c r="B98" s="6">
        <f t="shared" si="85"/>
        <v>13575.27720927528</v>
      </c>
      <c r="C98" s="6">
        <f t="shared" si="86"/>
        <v>13255.321332333839</v>
      </c>
      <c r="D98" s="31">
        <f t="shared" si="87"/>
        <v>26830.598541609121</v>
      </c>
    </row>
    <row r="99" spans="1:4" x14ac:dyDescent="0.25">
      <c r="A99" s="1">
        <v>32</v>
      </c>
      <c r="B99" s="6">
        <f t="shared" si="85"/>
        <v>12792.30976</v>
      </c>
      <c r="C99" s="6">
        <f t="shared" si="86"/>
        <v>15887.736832000002</v>
      </c>
      <c r="D99" s="31">
        <f t="shared" si="87"/>
        <v>28680.046592000002</v>
      </c>
    </row>
    <row r="100" spans="1:4" x14ac:dyDescent="0.25">
      <c r="A100" s="1">
        <v>40</v>
      </c>
      <c r="B100" s="6">
        <f t="shared" si="85"/>
        <v>15371.4788823536</v>
      </c>
      <c r="C100" s="6">
        <f t="shared" si="86"/>
        <v>20099.720445516403</v>
      </c>
      <c r="D100" s="31">
        <f t="shared" si="87"/>
        <v>35471.199327870003</v>
      </c>
    </row>
    <row r="101" spans="1:4" x14ac:dyDescent="0.25">
      <c r="A101" s="1">
        <v>50</v>
      </c>
      <c r="B101" s="6">
        <f t="shared" si="85"/>
        <v>22789.627820857</v>
      </c>
      <c r="C101" s="6">
        <f t="shared" si="86"/>
        <v>30919.971280580998</v>
      </c>
      <c r="D101" s="31">
        <f t="shared" si="87"/>
        <v>53709.599101437998</v>
      </c>
    </row>
    <row r="102" spans="1:4" x14ac:dyDescent="0.25">
      <c r="A102" s="1">
        <v>60</v>
      </c>
      <c r="B102" s="6">
        <f t="shared" si="85"/>
        <v>1704.3889557072</v>
      </c>
      <c r="C102" s="6">
        <f t="shared" si="86"/>
        <v>3927.0390087690002</v>
      </c>
      <c r="D102" s="31">
        <f t="shared" si="87"/>
        <v>5631.4279644762</v>
      </c>
    </row>
    <row r="103" spans="1:4" x14ac:dyDescent="0.25">
      <c r="D103" s="31"/>
    </row>
  </sheetData>
  <mergeCells count="32">
    <mergeCell ref="A54:A58"/>
    <mergeCell ref="A84:A85"/>
    <mergeCell ref="A87:A88"/>
    <mergeCell ref="A89:A91"/>
    <mergeCell ref="B89:E89"/>
    <mergeCell ref="B90:E90"/>
    <mergeCell ref="B91:E91"/>
    <mergeCell ref="M5:N5"/>
    <mergeCell ref="A50:F50"/>
    <mergeCell ref="M51:N51"/>
    <mergeCell ref="A28:A30"/>
    <mergeCell ref="B28:E28"/>
    <mergeCell ref="B29:E29"/>
    <mergeCell ref="B30:E30"/>
    <mergeCell ref="A13:A21"/>
    <mergeCell ref="A22:A27"/>
    <mergeCell ref="A68:A73"/>
    <mergeCell ref="A59:A67"/>
    <mergeCell ref="A80:F80"/>
    <mergeCell ref="A4:F4"/>
    <mergeCell ref="A34:F34"/>
    <mergeCell ref="A38:A39"/>
    <mergeCell ref="A41:A42"/>
    <mergeCell ref="A43:A45"/>
    <mergeCell ref="B43:E43"/>
    <mergeCell ref="B44:E44"/>
    <mergeCell ref="B45:E45"/>
    <mergeCell ref="A74:A76"/>
    <mergeCell ref="B74:E74"/>
    <mergeCell ref="B75:E75"/>
    <mergeCell ref="B76:E76"/>
    <mergeCell ref="A8:A1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CFB1-EF21-4A66-98FE-0A04AC66E6B6}">
  <dimension ref="A2:P50"/>
  <sheetViews>
    <sheetView workbookViewId="0">
      <selection activeCell="P8" sqref="P8"/>
    </sheetView>
  </sheetViews>
  <sheetFormatPr defaultColWidth="9" defaultRowHeight="13.8" x14ac:dyDescent="0.25"/>
  <cols>
    <col min="1" max="2" width="9" style="1"/>
    <col min="3" max="3" width="21" style="1" customWidth="1"/>
    <col min="4" max="4" width="9" style="1"/>
    <col min="5" max="5" width="13.109375" style="1" customWidth="1"/>
    <col min="6" max="6" width="14.109375" style="1" customWidth="1"/>
    <col min="7" max="16384" width="9" style="1"/>
  </cols>
  <sheetData>
    <row r="2" spans="2:16" x14ac:dyDescent="0.25">
      <c r="B2" s="40" t="s">
        <v>0</v>
      </c>
      <c r="C2" s="40" t="s">
        <v>1</v>
      </c>
      <c r="D2" s="34" t="s">
        <v>135</v>
      </c>
      <c r="E2" s="34"/>
      <c r="F2" s="34"/>
      <c r="G2" s="40" t="s">
        <v>136</v>
      </c>
      <c r="H2" s="48" t="s">
        <v>5</v>
      </c>
    </row>
    <row r="3" spans="2:16" ht="13.5" customHeight="1" x14ac:dyDescent="0.25">
      <c r="B3" s="40"/>
      <c r="C3" s="40"/>
      <c r="D3" s="2" t="s">
        <v>2</v>
      </c>
      <c r="E3" s="2" t="s">
        <v>3</v>
      </c>
      <c r="F3" s="2" t="s">
        <v>134</v>
      </c>
      <c r="G3" s="40"/>
      <c r="H3" s="48"/>
      <c r="K3" s="1" t="s">
        <v>6</v>
      </c>
      <c r="L3" s="1" t="s">
        <v>7</v>
      </c>
      <c r="M3" s="1" t="s">
        <v>8</v>
      </c>
      <c r="N3" s="1" t="s">
        <v>9</v>
      </c>
      <c r="O3" s="36" t="s">
        <v>25</v>
      </c>
      <c r="P3" s="36"/>
    </row>
    <row r="4" spans="2:16" x14ac:dyDescent="0.25">
      <c r="B4" s="2" t="s">
        <v>131</v>
      </c>
      <c r="C4" s="2" t="str">
        <f>CONCATENATE("□",K4,"×",L4,"×",M4)</f>
        <v>□600×20×600</v>
      </c>
      <c r="D4" s="2">
        <v>1</v>
      </c>
      <c r="E4" s="3">
        <f>IF(N4&gt;0,(N4*L4/1000000000*7850),(K4*L4*M4/1000000000*7850))</f>
        <v>40.897020651800005</v>
      </c>
      <c r="F4" s="3">
        <f>D4*E4</f>
        <v>40.897020651800005</v>
      </c>
      <c r="G4" s="49">
        <f>SUM(F4:F6)*528</f>
        <v>40873.713339887996</v>
      </c>
      <c r="H4" s="34" t="s">
        <v>240</v>
      </c>
      <c r="I4" s="23">
        <f>F5*528</f>
        <v>11458.720446412799</v>
      </c>
      <c r="K4" s="5">
        <v>600</v>
      </c>
      <c r="L4" s="1">
        <v>20</v>
      </c>
      <c r="M4" s="1">
        <v>600</v>
      </c>
      <c r="N4" s="1">
        <v>260490.57740000001</v>
      </c>
      <c r="O4" s="6">
        <f>IF(N4&gt;0,(N4*2/1000000),(K4*M4*2/1000000))</f>
        <v>0.52098115480000007</v>
      </c>
      <c r="P4" s="1">
        <f>O4*D4*528</f>
        <v>275.07804973440005</v>
      </c>
    </row>
    <row r="5" spans="2:16" x14ac:dyDescent="0.25">
      <c r="B5" s="2" t="s">
        <v>132</v>
      </c>
      <c r="C5" s="2" t="str">
        <f>CONCATENATE("□",K5,"×",L5,"×",M5)</f>
        <v>□180×16×180</v>
      </c>
      <c r="D5" s="2">
        <v>2</v>
      </c>
      <c r="E5" s="3">
        <f>IF(N5&gt;0,(N5*L5/1000000000*7850),(K5*L5*M5/1000000000*7850))</f>
        <v>10.851061028799998</v>
      </c>
      <c r="F5" s="3">
        <f>D5*E5</f>
        <v>21.702122057599997</v>
      </c>
      <c r="G5" s="50"/>
      <c r="H5" s="34"/>
      <c r="I5" s="23">
        <f>G4-I4</f>
        <v>29414.992893475195</v>
      </c>
      <c r="K5" s="5">
        <v>180</v>
      </c>
      <c r="L5" s="1">
        <v>16</v>
      </c>
      <c r="M5" s="1">
        <v>180</v>
      </c>
      <c r="N5" s="1">
        <v>86393.797999999995</v>
      </c>
      <c r="O5" s="6">
        <f>IF(N5&gt;0,(N5*2/1000000),(K5*M5*2/1000000))</f>
        <v>0.17278759599999999</v>
      </c>
      <c r="P5" s="1">
        <f t="shared" ref="P5:P6" si="0">O5*D5*528</f>
        <v>182.46370137599999</v>
      </c>
    </row>
    <row r="6" spans="2:16" x14ac:dyDescent="0.25">
      <c r="B6" s="2" t="s">
        <v>133</v>
      </c>
      <c r="C6" s="2" t="str">
        <f>CONCATENATE("□",K6,"×",L6,"×",M6)</f>
        <v>□240×20×140</v>
      </c>
      <c r="D6" s="2">
        <v>4</v>
      </c>
      <c r="E6" s="3">
        <f>IF(N6&gt;0,(N6*L6/1000000000*7850),(K6*L6*M6/1000000000*7850))</f>
        <v>3.7032982904000002</v>
      </c>
      <c r="F6" s="3">
        <f>D6*E6</f>
        <v>14.813193161600001</v>
      </c>
      <c r="G6" s="51"/>
      <c r="H6" s="34"/>
      <c r="K6" s="5">
        <v>240</v>
      </c>
      <c r="L6" s="1">
        <v>20</v>
      </c>
      <c r="M6" s="1">
        <v>140</v>
      </c>
      <c r="N6" s="1">
        <v>23587.887200000001</v>
      </c>
      <c r="O6" s="6">
        <f>IF(N6&gt;0,(N6*2/1000000),(K6*M6*2/1000000))</f>
        <v>4.7175774400000002E-2</v>
      </c>
      <c r="P6" s="1">
        <f t="shared" si="0"/>
        <v>99.63523553280001</v>
      </c>
    </row>
    <row r="7" spans="2:16" x14ac:dyDescent="0.25">
      <c r="B7" s="34" t="s">
        <v>23</v>
      </c>
      <c r="C7" s="34"/>
      <c r="D7" s="34"/>
      <c r="E7" s="34"/>
      <c r="F7" s="7">
        <f>SUM(F4:F6)</f>
        <v>77.412335870999996</v>
      </c>
      <c r="G7" s="7">
        <f>F7*528</f>
        <v>40873.713339887996</v>
      </c>
      <c r="H7" s="34"/>
      <c r="P7" s="1">
        <f>SUM(P4:P6)</f>
        <v>557.17698664320005</v>
      </c>
    </row>
    <row r="8" spans="2:16" x14ac:dyDescent="0.25">
      <c r="B8" s="34" t="s">
        <v>26</v>
      </c>
      <c r="C8" s="34"/>
      <c r="D8" s="34"/>
      <c r="E8" s="34"/>
      <c r="F8" s="8">
        <f>F7*0.015</f>
        <v>1.161185038065</v>
      </c>
      <c r="G8" s="7">
        <f>F8*528</f>
        <v>613.10570009831997</v>
      </c>
      <c r="H8" s="34"/>
    </row>
    <row r="9" spans="2:16" x14ac:dyDescent="0.25">
      <c r="B9" s="34" t="s">
        <v>24</v>
      </c>
      <c r="C9" s="34"/>
      <c r="D9" s="34"/>
      <c r="E9" s="34"/>
      <c r="F9" s="7">
        <f>F7+F8</f>
        <v>78.573520909064996</v>
      </c>
      <c r="G9" s="7">
        <f>F9*528</f>
        <v>41486.819039986316</v>
      </c>
      <c r="H9" s="34"/>
    </row>
    <row r="17" spans="1:16" x14ac:dyDescent="0.25">
      <c r="A17" s="34" t="s">
        <v>142</v>
      </c>
      <c r="B17" s="40" t="s">
        <v>0</v>
      </c>
      <c r="C17" s="40" t="s">
        <v>1</v>
      </c>
      <c r="D17" s="34" t="s">
        <v>140</v>
      </c>
      <c r="E17" s="34"/>
      <c r="F17" s="34"/>
      <c r="G17" s="40" t="s">
        <v>136</v>
      </c>
      <c r="H17" s="48" t="s">
        <v>5</v>
      </c>
    </row>
    <row r="18" spans="1:16" x14ac:dyDescent="0.25">
      <c r="A18" s="34"/>
      <c r="B18" s="40"/>
      <c r="C18" s="40"/>
      <c r="D18" s="2" t="s">
        <v>2</v>
      </c>
      <c r="E18" s="2" t="s">
        <v>3</v>
      </c>
      <c r="F18" s="2" t="s">
        <v>134</v>
      </c>
      <c r="G18" s="40"/>
      <c r="H18" s="48"/>
    </row>
    <row r="19" spans="1:16" x14ac:dyDescent="0.25">
      <c r="A19" s="34" t="s">
        <v>143</v>
      </c>
      <c r="B19" s="2" t="s">
        <v>137</v>
      </c>
      <c r="C19" s="2" t="str">
        <f>CONCATENATE("□",K19,"×",L19,"×",M19)</f>
        <v>□550×16×110</v>
      </c>
      <c r="D19" s="2">
        <v>2</v>
      </c>
      <c r="E19" s="3">
        <f>IF(N19&gt;0,(N19*L19/1000000000*7850),(K19*L19*M19/1000000000*7850))</f>
        <v>7.5987999999999998</v>
      </c>
      <c r="F19" s="3">
        <f>D19*E19</f>
        <v>15.1976</v>
      </c>
      <c r="G19" s="49">
        <f>SUM(F19:F21)*528</f>
        <v>21838.9512</v>
      </c>
      <c r="H19" s="34" t="s">
        <v>240</v>
      </c>
      <c r="K19" s="5">
        <v>550</v>
      </c>
      <c r="L19" s="1">
        <v>16</v>
      </c>
      <c r="M19" s="1">
        <v>110</v>
      </c>
      <c r="O19" s="6">
        <f>IF(N19&gt;0,(N19*2/1000000),(K19*M19*2/1000000))</f>
        <v>0.121</v>
      </c>
      <c r="P19" s="1">
        <f t="shared" ref="P19:P21" si="1">O19*D19*528</f>
        <v>127.776</v>
      </c>
    </row>
    <row r="20" spans="1:16" x14ac:dyDescent="0.25">
      <c r="A20" s="34"/>
      <c r="B20" s="2" t="s">
        <v>138</v>
      </c>
      <c r="C20" s="2" t="str">
        <f>CONCATENATE("□",K20,"×",L20,"×",M20)</f>
        <v>□550×42×110</v>
      </c>
      <c r="D20" s="2">
        <v>1</v>
      </c>
      <c r="E20" s="3">
        <f>IF(N20&gt;0,(N20*L20/1000000000*7850),(K20*L20*M20/1000000000*7850))</f>
        <v>19.946849999999998</v>
      </c>
      <c r="F20" s="3">
        <f>D20*E20</f>
        <v>19.946849999999998</v>
      </c>
      <c r="G20" s="50"/>
      <c r="H20" s="34"/>
      <c r="K20" s="5">
        <v>550</v>
      </c>
      <c r="L20" s="1">
        <v>42</v>
      </c>
      <c r="M20" s="1">
        <v>110</v>
      </c>
      <c r="O20" s="6">
        <f>IF(N20&gt;0,(N20*2/1000000),(K20*M20*2/1000000))</f>
        <v>0.121</v>
      </c>
      <c r="P20" s="1">
        <f t="shared" si="1"/>
        <v>63.887999999999998</v>
      </c>
    </row>
    <row r="21" spans="1:16" x14ac:dyDescent="0.25">
      <c r="A21" s="34"/>
      <c r="B21" s="2" t="s">
        <v>139</v>
      </c>
      <c r="C21" s="2" t="str">
        <f>CONCATENATE("□",K21,"×",L21,"×",M21)</f>
        <v>□150×12×110</v>
      </c>
      <c r="D21" s="2">
        <v>4</v>
      </c>
      <c r="E21" s="3">
        <f>IF(N21&gt;0,(N21*L21/1000000000*7850),(K21*L21*M21/1000000000*7850))</f>
        <v>1.5543</v>
      </c>
      <c r="F21" s="3">
        <f>D21*E21</f>
        <v>6.2172000000000001</v>
      </c>
      <c r="G21" s="51"/>
      <c r="H21" s="34"/>
      <c r="K21" s="5">
        <v>150</v>
      </c>
      <c r="L21" s="1">
        <v>12</v>
      </c>
      <c r="M21" s="1">
        <v>110</v>
      </c>
      <c r="O21" s="6">
        <f>IF(N21&gt;0,(N21*2/1000000),(K21*M21*2/1000000))</f>
        <v>3.3000000000000002E-2</v>
      </c>
      <c r="P21" s="1">
        <f t="shared" si="1"/>
        <v>69.695999999999998</v>
      </c>
    </row>
    <row r="22" spans="1:16" x14ac:dyDescent="0.25">
      <c r="A22" s="34"/>
      <c r="B22" s="34" t="s">
        <v>23</v>
      </c>
      <c r="C22" s="34"/>
      <c r="D22" s="34"/>
      <c r="E22" s="34"/>
      <c r="F22" s="7">
        <f>SUM(F19:F21)</f>
        <v>41.361649999999997</v>
      </c>
      <c r="G22" s="7">
        <f>F22*528</f>
        <v>21838.9512</v>
      </c>
      <c r="H22" s="34"/>
      <c r="P22" s="1">
        <f>SUM(P19:P21)</f>
        <v>261.36</v>
      </c>
    </row>
    <row r="23" spans="1:16" x14ac:dyDescent="0.25">
      <c r="A23" s="34"/>
      <c r="B23" s="34" t="s">
        <v>26</v>
      </c>
      <c r="C23" s="34"/>
      <c r="D23" s="34"/>
      <c r="E23" s="34"/>
      <c r="F23" s="8">
        <f>F22*0.015</f>
        <v>0.62042474999999997</v>
      </c>
      <c r="G23" s="7">
        <f>F23*528</f>
        <v>327.58426800000001</v>
      </c>
      <c r="H23" s="34"/>
    </row>
    <row r="24" spans="1:16" x14ac:dyDescent="0.25">
      <c r="A24" s="34"/>
      <c r="B24" s="37" t="s">
        <v>24</v>
      </c>
      <c r="C24" s="37"/>
      <c r="D24" s="37"/>
      <c r="E24" s="37"/>
      <c r="F24" s="19">
        <f>F22+F23</f>
        <v>41.982074749999995</v>
      </c>
      <c r="G24" s="19">
        <f>F24*528</f>
        <v>22166.535467999998</v>
      </c>
      <c r="H24" s="37"/>
    </row>
    <row r="25" spans="1:16" x14ac:dyDescent="0.25">
      <c r="A25" s="34" t="s">
        <v>141</v>
      </c>
      <c r="B25" s="4" t="s">
        <v>144</v>
      </c>
      <c r="C25" s="4" t="s">
        <v>147</v>
      </c>
      <c r="D25" s="4">
        <v>5</v>
      </c>
      <c r="E25" s="4" t="s">
        <v>150</v>
      </c>
      <c r="F25" s="4" t="s">
        <v>150</v>
      </c>
      <c r="G25" s="4">
        <f>D25*528</f>
        <v>2640</v>
      </c>
      <c r="H25" s="37" t="s">
        <v>151</v>
      </c>
    </row>
    <row r="26" spans="1:16" x14ac:dyDescent="0.25">
      <c r="A26" s="34"/>
      <c r="B26" s="4" t="s">
        <v>145</v>
      </c>
      <c r="C26" s="4" t="s">
        <v>148</v>
      </c>
      <c r="D26" s="4">
        <v>5</v>
      </c>
      <c r="E26" s="4" t="s">
        <v>150</v>
      </c>
      <c r="F26" s="4" t="s">
        <v>150</v>
      </c>
      <c r="G26" s="4">
        <f>D26*528</f>
        <v>2640</v>
      </c>
      <c r="H26" s="39"/>
    </row>
    <row r="27" spans="1:16" x14ac:dyDescent="0.25">
      <c r="A27" s="34"/>
      <c r="B27" s="4" t="s">
        <v>146</v>
      </c>
      <c r="C27" s="4" t="s">
        <v>149</v>
      </c>
      <c r="D27" s="4">
        <v>5</v>
      </c>
      <c r="E27" s="4" t="s">
        <v>150</v>
      </c>
      <c r="F27" s="4" t="s">
        <v>150</v>
      </c>
      <c r="G27" s="4">
        <f>D27*528</f>
        <v>2640</v>
      </c>
      <c r="H27" s="4">
        <v>45</v>
      </c>
    </row>
    <row r="32" spans="1:16" ht="12.75" customHeight="1" x14ac:dyDescent="0.25"/>
    <row r="33" spans="2:16" ht="15.75" customHeight="1" x14ac:dyDescent="0.25">
      <c r="B33" s="2" t="s">
        <v>0</v>
      </c>
      <c r="C33" s="2" t="s">
        <v>1</v>
      </c>
      <c r="D33" s="24" t="s">
        <v>156</v>
      </c>
      <c r="E33" s="2" t="s">
        <v>3</v>
      </c>
      <c r="F33" s="2" t="s">
        <v>157</v>
      </c>
      <c r="G33" s="4" t="s">
        <v>158</v>
      </c>
    </row>
    <row r="34" spans="2:16" x14ac:dyDescent="0.25">
      <c r="B34" s="2" t="s">
        <v>137</v>
      </c>
      <c r="C34" s="2" t="str">
        <f>CONCATENATE("□",K34,"×",L34,"×",M34)</f>
        <v>□550×12×180</v>
      </c>
      <c r="D34" s="4">
        <v>800</v>
      </c>
      <c r="E34" s="3">
        <f>IF(N34&gt;0,(N34*L34/1000000000*7850),(K34*L34*M34/1000000000*7850))</f>
        <v>9.325800000000001</v>
      </c>
      <c r="F34" s="3">
        <f>D34*E34</f>
        <v>7460.6400000000012</v>
      </c>
      <c r="G34" s="4" t="s">
        <v>240</v>
      </c>
      <c r="K34" s="1">
        <v>550</v>
      </c>
      <c r="L34" s="1">
        <v>12</v>
      </c>
      <c r="M34" s="1">
        <v>180</v>
      </c>
      <c r="O34" s="6">
        <f>IF(N34&gt;0,(N34*2/1000000),(K34*M34*2/1000000))</f>
        <v>0.19800000000000001</v>
      </c>
      <c r="P34" s="1">
        <f>O34*D34</f>
        <v>158.4</v>
      </c>
    </row>
    <row r="35" spans="2:16" ht="17.25" customHeight="1" x14ac:dyDescent="0.25">
      <c r="B35" s="4" t="s">
        <v>159</v>
      </c>
      <c r="C35" s="4" t="s">
        <v>160</v>
      </c>
      <c r="D35" s="25">
        <f>D34*12</f>
        <v>9600</v>
      </c>
      <c r="E35" s="4"/>
      <c r="F35" s="4"/>
      <c r="G35" s="4"/>
    </row>
    <row r="41" spans="2:16" x14ac:dyDescent="0.25">
      <c r="B41" s="34" t="s">
        <v>98</v>
      </c>
      <c r="C41" s="4" t="s">
        <v>102</v>
      </c>
      <c r="D41" s="4" t="s">
        <v>99</v>
      </c>
    </row>
    <row r="42" spans="2:16" x14ac:dyDescent="0.25">
      <c r="B42" s="34"/>
      <c r="C42" s="4" t="s">
        <v>95</v>
      </c>
      <c r="D42" s="4" t="s">
        <v>113</v>
      </c>
    </row>
    <row r="43" spans="2:16" x14ac:dyDescent="0.25">
      <c r="B43" s="40" t="s">
        <v>103</v>
      </c>
      <c r="C43" s="4" t="s">
        <v>105</v>
      </c>
      <c r="D43" s="8">
        <f>F21*528+F34</f>
        <v>10743.321600000001</v>
      </c>
    </row>
    <row r="44" spans="2:16" x14ac:dyDescent="0.25">
      <c r="B44" s="40"/>
      <c r="C44" s="4" t="s">
        <v>107</v>
      </c>
      <c r="D44" s="8">
        <f>F5*528+F19*528</f>
        <v>19483.053246412797</v>
      </c>
    </row>
    <row r="45" spans="2:16" x14ac:dyDescent="0.25">
      <c r="B45" s="40"/>
      <c r="C45" s="4" t="s">
        <v>223</v>
      </c>
      <c r="D45" s="8">
        <f>F6*528+F4*528</f>
        <v>29414.992893475202</v>
      </c>
    </row>
    <row r="46" spans="2:16" x14ac:dyDescent="0.25">
      <c r="B46" s="40"/>
      <c r="C46" s="4" t="s">
        <v>246</v>
      </c>
      <c r="D46" s="8">
        <f>F20*528</f>
        <v>10531.936799999999</v>
      </c>
    </row>
    <row r="47" spans="2:16" x14ac:dyDescent="0.25">
      <c r="B47" s="40"/>
      <c r="C47" s="4" t="s">
        <v>112</v>
      </c>
      <c r="D47" s="8">
        <f>SUM(D43:D46)</f>
        <v>70173.304539888006</v>
      </c>
      <c r="E47" s="23"/>
    </row>
    <row r="48" spans="2:16" x14ac:dyDescent="0.25">
      <c r="B48" s="4" t="s">
        <v>25</v>
      </c>
      <c r="C48" s="4" t="s">
        <v>116</v>
      </c>
      <c r="D48" s="7">
        <f>SUM(P4:P34)</f>
        <v>1795.4739732864</v>
      </c>
    </row>
    <row r="49" spans="2:4" x14ac:dyDescent="0.25">
      <c r="B49" s="4" t="s">
        <v>247</v>
      </c>
      <c r="C49" s="4" t="s">
        <v>151</v>
      </c>
      <c r="D49" s="4">
        <f>G25</f>
        <v>2640</v>
      </c>
    </row>
    <row r="50" spans="2:4" x14ac:dyDescent="0.25">
      <c r="B50" s="4" t="s">
        <v>248</v>
      </c>
      <c r="C50" s="4"/>
      <c r="D50" s="25">
        <f>D35</f>
        <v>9600</v>
      </c>
    </row>
  </sheetData>
  <mergeCells count="27">
    <mergeCell ref="O3:P3"/>
    <mergeCell ref="B41:B42"/>
    <mergeCell ref="B43:B47"/>
    <mergeCell ref="A17:A18"/>
    <mergeCell ref="A19:A24"/>
    <mergeCell ref="A25:A27"/>
    <mergeCell ref="H25:H26"/>
    <mergeCell ref="B24:E24"/>
    <mergeCell ref="G17:G18"/>
    <mergeCell ref="G19:G21"/>
    <mergeCell ref="H17:H18"/>
    <mergeCell ref="H19:H24"/>
    <mergeCell ref="B17:B18"/>
    <mergeCell ref="C17:C18"/>
    <mergeCell ref="D17:F17"/>
    <mergeCell ref="B22:E22"/>
    <mergeCell ref="B23:E23"/>
    <mergeCell ref="H4:H9"/>
    <mergeCell ref="B7:E7"/>
    <mergeCell ref="B8:E8"/>
    <mergeCell ref="B9:E9"/>
    <mergeCell ref="G4:G6"/>
    <mergeCell ref="D2:F2"/>
    <mergeCell ref="B2:B3"/>
    <mergeCell ref="C2:C3"/>
    <mergeCell ref="G2:G3"/>
    <mergeCell ref="H2:H3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3F4D-0B29-4DC0-9815-19344E38311A}">
  <dimension ref="A6:C6"/>
  <sheetViews>
    <sheetView workbookViewId="0">
      <selection activeCell="A4" sqref="A4:XFD8"/>
    </sheetView>
  </sheetViews>
  <sheetFormatPr defaultColWidth="14.21875" defaultRowHeight="13.8" x14ac:dyDescent="0.25"/>
  <cols>
    <col min="1" max="1" width="14.21875" style="1"/>
    <col min="2" max="2" width="23.21875" style="1" customWidth="1"/>
    <col min="3" max="16384" width="14.21875" style="1"/>
  </cols>
  <sheetData>
    <row r="6" spans="1:3" x14ac:dyDescent="0.25">
      <c r="A6" s="1" t="s">
        <v>249</v>
      </c>
      <c r="B6" s="1" t="s">
        <v>291</v>
      </c>
      <c r="C6" s="1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D7B0-818B-4D0D-933C-05FACFCCB40E}">
  <dimension ref="A2:K22"/>
  <sheetViews>
    <sheetView workbookViewId="0">
      <selection activeCell="F3" sqref="F3:K22"/>
    </sheetView>
  </sheetViews>
  <sheetFormatPr defaultRowHeight="13.8" x14ac:dyDescent="0.25"/>
  <cols>
    <col min="4" max="4" width="15" customWidth="1"/>
    <col min="6" max="6" width="12.44140625" customWidth="1"/>
    <col min="11" max="11" width="11.21875" customWidth="1"/>
  </cols>
  <sheetData>
    <row r="2" spans="1:11" x14ac:dyDescent="0.25">
      <c r="A2" s="27" t="s">
        <v>236</v>
      </c>
      <c r="B2" s="58" t="s">
        <v>237</v>
      </c>
      <c r="C2" s="59"/>
      <c r="D2" s="60"/>
      <c r="E2" s="27" t="s">
        <v>238</v>
      </c>
      <c r="F2" s="27" t="s">
        <v>251</v>
      </c>
      <c r="G2" s="27" t="s">
        <v>239</v>
      </c>
      <c r="H2" s="27" t="s">
        <v>252</v>
      </c>
      <c r="I2" s="27" t="s">
        <v>253</v>
      </c>
      <c r="J2" s="27" t="s">
        <v>249</v>
      </c>
      <c r="K2" s="4" t="s">
        <v>112</v>
      </c>
    </row>
    <row r="3" spans="1:11" ht="15.75" customHeight="1" x14ac:dyDescent="0.25">
      <c r="A3" s="41" t="s">
        <v>143</v>
      </c>
      <c r="B3" s="52" t="s">
        <v>240</v>
      </c>
      <c r="C3" s="53"/>
      <c r="D3" s="2" t="s">
        <v>104</v>
      </c>
      <c r="E3" s="27" t="s">
        <v>241</v>
      </c>
      <c r="F3" s="3">
        <f>A类梁段!E86+B1类梁段!D83+B2类梁段!D79+'C1类梁段'!D102+'C2类梁段'!D104+'结合段拱+连梁'!D96</f>
        <v>31868.064100000003</v>
      </c>
      <c r="G3" s="27"/>
      <c r="H3" s="27"/>
      <c r="I3" s="28"/>
      <c r="J3" s="28"/>
      <c r="K3" s="8">
        <f>SUM(F3:J3)</f>
        <v>31868.064100000003</v>
      </c>
    </row>
    <row r="4" spans="1:11" x14ac:dyDescent="0.25">
      <c r="A4" s="42"/>
      <c r="B4" s="54"/>
      <c r="C4" s="55"/>
      <c r="D4" s="2" t="s">
        <v>105</v>
      </c>
      <c r="E4" s="27" t="s">
        <v>241</v>
      </c>
      <c r="F4" s="3">
        <f>A类梁段!E87+B1类梁段!D84+B2类梁段!D80+'C1类梁段'!D103+'C2类梁段'!D105+'结合段拱+连梁'!D97</f>
        <v>685430.161308515</v>
      </c>
      <c r="G4" s="8"/>
      <c r="H4" s="8">
        <f>'临时吊点+匹配件+工地'!F21*528</f>
        <v>3282.6815999999999</v>
      </c>
      <c r="I4" s="8">
        <f>'临时吊点+匹配件+工地'!F34</f>
        <v>7460.6400000000012</v>
      </c>
      <c r="J4" s="8"/>
      <c r="K4" s="8">
        <f t="shared" ref="K4:K16" si="0">SUM(F4:J4)</f>
        <v>696173.48290851503</v>
      </c>
    </row>
    <row r="5" spans="1:11" x14ac:dyDescent="0.25">
      <c r="A5" s="42"/>
      <c r="B5" s="54"/>
      <c r="C5" s="55"/>
      <c r="D5" s="2" t="s">
        <v>106</v>
      </c>
      <c r="E5" s="27" t="s">
        <v>241</v>
      </c>
      <c r="F5" s="3">
        <f>A类梁段!E88+B1类梁段!D85+B2类梁段!D81+'C1类梁段'!D104+'C2类梁段'!D106</f>
        <v>237040.75945693333</v>
      </c>
      <c r="G5" s="8"/>
      <c r="H5" s="8"/>
      <c r="I5" s="8"/>
      <c r="J5" s="8"/>
      <c r="K5" s="8">
        <f t="shared" si="0"/>
        <v>237040.75945693333</v>
      </c>
    </row>
    <row r="6" spans="1:11" x14ac:dyDescent="0.25">
      <c r="A6" s="42"/>
      <c r="B6" s="54"/>
      <c r="C6" s="55"/>
      <c r="D6" s="2" t="s">
        <v>107</v>
      </c>
      <c r="E6" s="27" t="s">
        <v>241</v>
      </c>
      <c r="F6" s="3">
        <f>A类梁段!E89+B1类梁段!D86+B2类梁段!D82+'C1类梁段'!D105+'C2类梁段'!D107</f>
        <v>1211666.1039608747</v>
      </c>
      <c r="G6" s="8">
        <f>'临时吊点+匹配件+工地'!I4</f>
        <v>11458.720446412799</v>
      </c>
      <c r="H6" s="8">
        <f>'临时吊点+匹配件+工地'!F19*528</f>
        <v>8024.3328000000001</v>
      </c>
      <c r="I6" s="8"/>
      <c r="J6" s="8"/>
      <c r="K6" s="8">
        <f t="shared" si="0"/>
        <v>1231149.1572072874</v>
      </c>
    </row>
    <row r="7" spans="1:11" x14ac:dyDescent="0.25">
      <c r="A7" s="42"/>
      <c r="B7" s="54"/>
      <c r="C7" s="55"/>
      <c r="D7" s="2" t="s">
        <v>223</v>
      </c>
      <c r="E7" s="27" t="s">
        <v>241</v>
      </c>
      <c r="F7" s="28">
        <f>B1类梁段!D87+B2类梁段!D83</f>
        <v>11298.109056299198</v>
      </c>
      <c r="G7" s="8">
        <f>'临时吊点+匹配件+工地'!I5</f>
        <v>29414.992893475195</v>
      </c>
      <c r="H7" s="8"/>
      <c r="I7" s="8"/>
      <c r="J7" s="8"/>
      <c r="K7" s="8">
        <f t="shared" si="0"/>
        <v>40713.101949774391</v>
      </c>
    </row>
    <row r="8" spans="1:11" x14ac:dyDescent="0.25">
      <c r="A8" s="42"/>
      <c r="B8" s="54"/>
      <c r="C8" s="55"/>
      <c r="D8" s="2" t="s">
        <v>108</v>
      </c>
      <c r="E8" s="27" t="s">
        <v>241</v>
      </c>
      <c r="F8" s="28">
        <f>A类梁段!E90+B1类梁段!D88+B2类梁段!D84+'C1类梁段'!D106+'C2类梁段'!D108+'结合段拱+连梁'!D98</f>
        <v>136174.65822330577</v>
      </c>
      <c r="G8" s="8"/>
      <c r="H8" s="8"/>
      <c r="I8" s="8"/>
      <c r="J8" s="8"/>
      <c r="K8" s="8">
        <f t="shared" si="0"/>
        <v>136174.65822330577</v>
      </c>
    </row>
    <row r="9" spans="1:11" x14ac:dyDescent="0.25">
      <c r="A9" s="42"/>
      <c r="B9" s="54"/>
      <c r="C9" s="55"/>
      <c r="D9" s="2" t="s">
        <v>109</v>
      </c>
      <c r="E9" s="27" t="s">
        <v>241</v>
      </c>
      <c r="F9" s="28">
        <f>A类梁段!E91+B1类梁段!D89+B2类梁段!D85+'C1类梁段'!D107+'C2类梁段'!D109</f>
        <v>382647.66464889294</v>
      </c>
      <c r="G9" s="8"/>
      <c r="H9" s="8"/>
      <c r="I9" s="8"/>
      <c r="J9" s="8"/>
      <c r="K9" s="8">
        <f t="shared" si="0"/>
        <v>382647.66464889294</v>
      </c>
    </row>
    <row r="10" spans="1:11" x14ac:dyDescent="0.25">
      <c r="A10" s="42"/>
      <c r="B10" s="54"/>
      <c r="C10" s="55"/>
      <c r="D10" s="2" t="s">
        <v>222</v>
      </c>
      <c r="E10" s="27" t="s">
        <v>241</v>
      </c>
      <c r="F10" s="28">
        <f>B1类梁段!D90+B2类梁段!D86+'结合段拱+连梁'!D99</f>
        <v>130397.84375663007</v>
      </c>
      <c r="G10" s="8"/>
      <c r="H10" s="8"/>
      <c r="I10" s="8"/>
      <c r="J10" s="8"/>
      <c r="K10" s="8">
        <f t="shared" si="0"/>
        <v>130397.84375663007</v>
      </c>
    </row>
    <row r="11" spans="1:11" x14ac:dyDescent="0.25">
      <c r="A11" s="42"/>
      <c r="B11" s="54"/>
      <c r="C11" s="55"/>
      <c r="D11" s="2" t="s">
        <v>224</v>
      </c>
      <c r="E11" s="27" t="s">
        <v>241</v>
      </c>
      <c r="F11" s="28">
        <f>'C1类梁段'!D108+'C2类梁段'!D110</f>
        <v>179849.6136648868</v>
      </c>
      <c r="G11" s="8"/>
      <c r="H11" s="8"/>
      <c r="I11" s="8"/>
      <c r="J11" s="8"/>
      <c r="K11" s="8">
        <f t="shared" si="0"/>
        <v>179849.6136648868</v>
      </c>
    </row>
    <row r="12" spans="1:11" x14ac:dyDescent="0.25">
      <c r="A12" s="42"/>
      <c r="B12" s="54"/>
      <c r="C12" s="55"/>
      <c r="D12" s="2" t="s">
        <v>225</v>
      </c>
      <c r="E12" s="27" t="s">
        <v>241</v>
      </c>
      <c r="F12" s="28">
        <f>'C1类梁段'!D109+'C2类梁段'!D111+'结合段拱+连梁'!D100</f>
        <v>204514.11626039041</v>
      </c>
      <c r="G12" s="8"/>
      <c r="H12" s="8"/>
      <c r="I12" s="8"/>
      <c r="J12" s="8"/>
      <c r="K12" s="8">
        <f t="shared" si="0"/>
        <v>204514.11626039041</v>
      </c>
    </row>
    <row r="13" spans="1:11" x14ac:dyDescent="0.25">
      <c r="A13" s="42"/>
      <c r="B13" s="54"/>
      <c r="C13" s="55"/>
      <c r="D13" s="2" t="s">
        <v>246</v>
      </c>
      <c r="E13" s="27" t="s">
        <v>241</v>
      </c>
      <c r="F13" s="28"/>
      <c r="G13" s="8"/>
      <c r="H13" s="8">
        <f>'临时吊点+匹配件+工地'!F20*528</f>
        <v>10531.936799999999</v>
      </c>
      <c r="I13" s="8"/>
      <c r="J13" s="8"/>
      <c r="K13" s="8">
        <f t="shared" si="0"/>
        <v>10531.936799999999</v>
      </c>
    </row>
    <row r="14" spans="1:11" x14ac:dyDescent="0.25">
      <c r="A14" s="42"/>
      <c r="B14" s="54"/>
      <c r="C14" s="55"/>
      <c r="D14" s="2" t="s">
        <v>110</v>
      </c>
      <c r="E14" s="27" t="s">
        <v>241</v>
      </c>
      <c r="F14" s="28">
        <f>A类梁段!E92+B1类梁段!D91+B2类梁段!D87+'结合段拱+连梁'!D101</f>
        <v>56340.605101437999</v>
      </c>
      <c r="G14" s="8"/>
      <c r="H14" s="8"/>
      <c r="I14" s="8"/>
      <c r="J14" s="8"/>
      <c r="K14" s="8">
        <f t="shared" si="0"/>
        <v>56340.605101437999</v>
      </c>
    </row>
    <row r="15" spans="1:11" x14ac:dyDescent="0.25">
      <c r="A15" s="42"/>
      <c r="B15" s="54"/>
      <c r="C15" s="55"/>
      <c r="D15" s="2" t="s">
        <v>294</v>
      </c>
      <c r="E15" s="27" t="s">
        <v>241</v>
      </c>
      <c r="F15" s="28">
        <f>'结合段拱+连梁'!D102</f>
        <v>5631.4279644762</v>
      </c>
      <c r="G15" s="8"/>
      <c r="H15" s="8"/>
      <c r="I15" s="8"/>
      <c r="J15" s="8"/>
      <c r="K15" s="8">
        <f t="shared" si="0"/>
        <v>5631.4279644762</v>
      </c>
    </row>
    <row r="16" spans="1:11" ht="15" customHeight="1" x14ac:dyDescent="0.25">
      <c r="A16" s="42"/>
      <c r="B16" s="56"/>
      <c r="C16" s="57"/>
      <c r="D16" s="2" t="s">
        <v>111</v>
      </c>
      <c r="E16" s="27" t="s">
        <v>241</v>
      </c>
      <c r="F16" s="28">
        <f>A类梁段!E93+B1类梁段!D92+B2类梁段!D88+'C1类梁段'!D110+'C2类梁段'!D112</f>
        <v>5907.1382884800014</v>
      </c>
      <c r="G16" s="8"/>
      <c r="H16" s="8"/>
      <c r="I16" s="8"/>
      <c r="J16" s="8"/>
      <c r="K16" s="8">
        <f t="shared" si="0"/>
        <v>5907.1382884800014</v>
      </c>
    </row>
    <row r="17" spans="1:11" x14ac:dyDescent="0.25">
      <c r="A17" s="43"/>
      <c r="B17" s="61" t="s">
        <v>242</v>
      </c>
      <c r="C17" s="40"/>
      <c r="D17" s="40"/>
      <c r="E17" s="27" t="s">
        <v>241</v>
      </c>
      <c r="F17" s="28">
        <f>SUM(F3:F16)</f>
        <v>3278766.2657911223</v>
      </c>
      <c r="G17" s="28">
        <f>SUM(G3:G16)</f>
        <v>40873.713339887996</v>
      </c>
      <c r="H17" s="28">
        <f>SUM(H3:H16)</f>
        <v>21838.9512</v>
      </c>
      <c r="I17" s="28">
        <f>SUM(I3:I16)</f>
        <v>7460.6400000000012</v>
      </c>
      <c r="J17" s="28"/>
      <c r="K17" s="8">
        <f t="shared" ref="K17:K19" si="1">SUM(F17:I17)</f>
        <v>3348939.5703310105</v>
      </c>
    </row>
    <row r="18" spans="1:11" x14ac:dyDescent="0.25">
      <c r="A18" s="2" t="s">
        <v>144</v>
      </c>
      <c r="B18" s="58" t="s">
        <v>254</v>
      </c>
      <c r="C18" s="59"/>
      <c r="D18" s="60"/>
      <c r="E18" s="27" t="s">
        <v>243</v>
      </c>
      <c r="F18" s="28"/>
      <c r="G18" s="21"/>
      <c r="H18" s="21">
        <f>'临时吊点+匹配件+工地'!G25</f>
        <v>2640</v>
      </c>
      <c r="I18" s="8"/>
      <c r="J18" s="8"/>
      <c r="K18" s="21">
        <f t="shared" si="1"/>
        <v>2640</v>
      </c>
    </row>
    <row r="19" spans="1:11" x14ac:dyDescent="0.25">
      <c r="A19" s="2" t="s">
        <v>159</v>
      </c>
      <c r="B19" s="58" t="s">
        <v>255</v>
      </c>
      <c r="C19" s="59"/>
      <c r="D19" s="60"/>
      <c r="E19" s="27" t="s">
        <v>243</v>
      </c>
      <c r="F19" s="28"/>
      <c r="G19" s="21"/>
      <c r="H19" s="21"/>
      <c r="I19" s="21">
        <f>'临时吊点+匹配件+工地'!D35</f>
        <v>9600</v>
      </c>
      <c r="J19" s="8"/>
      <c r="K19" s="21">
        <f t="shared" si="1"/>
        <v>9600</v>
      </c>
    </row>
    <row r="20" spans="1:11" ht="16.2" x14ac:dyDescent="0.25">
      <c r="A20" s="61" t="s">
        <v>25</v>
      </c>
      <c r="B20" s="61" t="s">
        <v>244</v>
      </c>
      <c r="C20" s="61"/>
      <c r="D20" s="61"/>
      <c r="E20" s="27" t="s">
        <v>235</v>
      </c>
      <c r="F20" s="28">
        <f>A类梁段!E98+B1类梁段!D97+B2类梁段!D93+'C1类梁段'!D115+'C2类梁段'!D117</f>
        <v>25978.685656361937</v>
      </c>
      <c r="G20" s="8">
        <f>'临时吊点+匹配件+工地'!P7</f>
        <v>557.17698664320005</v>
      </c>
      <c r="H20" s="8">
        <f>'临时吊点+匹配件+工地'!P22</f>
        <v>261.36</v>
      </c>
      <c r="I20" s="8">
        <f>'临时吊点+匹配件+工地'!P34</f>
        <v>158.4</v>
      </c>
      <c r="J20" s="8"/>
      <c r="K20" s="8">
        <f>SUM(F20:J20)</f>
        <v>26955.622643005139</v>
      </c>
    </row>
    <row r="21" spans="1:11" ht="16.2" x14ac:dyDescent="0.25">
      <c r="A21" s="61"/>
      <c r="B21" s="61" t="s">
        <v>245</v>
      </c>
      <c r="C21" s="61"/>
      <c r="D21" s="61"/>
      <c r="E21" s="27" t="s">
        <v>235</v>
      </c>
      <c r="F21" s="28">
        <f>A类梁段!E97+B1类梁段!D96+B2类梁段!D92+'C1类梁段'!D114+'C2类梁段'!D116</f>
        <v>21051.286752200667</v>
      </c>
      <c r="G21" s="8"/>
      <c r="H21" s="8"/>
      <c r="I21" s="8"/>
      <c r="J21" s="8"/>
      <c r="K21" s="8">
        <f>SUM(F21:J21)</f>
        <v>21051.286752200667</v>
      </c>
    </row>
    <row r="22" spans="1:11" x14ac:dyDescent="0.25">
      <c r="A22" s="4" t="s">
        <v>249</v>
      </c>
      <c r="B22" s="34" t="s">
        <v>250</v>
      </c>
      <c r="C22" s="34"/>
      <c r="D22" s="34"/>
      <c r="E22" s="27" t="s">
        <v>256</v>
      </c>
      <c r="F22" s="29"/>
      <c r="G22" s="29"/>
      <c r="H22" s="29"/>
      <c r="I22" s="29"/>
      <c r="J22" s="4">
        <v>4</v>
      </c>
      <c r="K22" s="21">
        <f>SUM(F22:J22)</f>
        <v>4</v>
      </c>
    </row>
  </sheetData>
  <mergeCells count="10">
    <mergeCell ref="B22:D22"/>
    <mergeCell ref="B18:D18"/>
    <mergeCell ref="A20:A21"/>
    <mergeCell ref="B20:D20"/>
    <mergeCell ref="B21:D21"/>
    <mergeCell ref="B3:C16"/>
    <mergeCell ref="B19:D19"/>
    <mergeCell ref="B2:D2"/>
    <mergeCell ref="A3:A17"/>
    <mergeCell ref="B17:D17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梁段划分</vt:lpstr>
      <vt:lpstr>A类梁段</vt:lpstr>
      <vt:lpstr>B1类梁段</vt:lpstr>
      <vt:lpstr>B2类梁段</vt:lpstr>
      <vt:lpstr>C1类梁段</vt:lpstr>
      <vt:lpstr>C2类梁段</vt:lpstr>
      <vt:lpstr>结合段拱+连梁</vt:lpstr>
      <vt:lpstr>临时吊点+匹配件+工地</vt:lpstr>
      <vt:lpstr>密封门及检查孔</vt:lpstr>
      <vt:lpstr>主梁工程数量表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高海洋</dc:creator>
  <cp:lastModifiedBy>高海洋</cp:lastModifiedBy>
  <dcterms:created xsi:type="dcterms:W3CDTF">2015-06-05T18:19:34Z</dcterms:created>
  <dcterms:modified xsi:type="dcterms:W3CDTF">2023-01-12T13:26:03Z</dcterms:modified>
</cp:coreProperties>
</file>